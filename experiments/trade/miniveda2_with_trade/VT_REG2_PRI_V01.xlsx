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90" yWindow="390" windowWidth="15375" windowHeight="7875" tabRatio="901" firstSheet="0" activeTab="3" autoFilterDateGrouping="1"/>
  </bookViews>
  <sheets>
    <sheet name="EnergyBalance" sheetId="1" state="visible" r:id="rId1"/>
    <sheet name="RES&amp;OBJ" sheetId="2" state="visible" r:id="rId2"/>
    <sheet name="Pri_COA" sheetId="3" state="visible" r:id="rId3"/>
    <sheet name="DemTechs_TPS" sheetId="4" state="visible" r:id="rId4"/>
    <sheet name="Demands" sheetId="5" state="visible" r:id="rId5"/>
  </sheets>
  <externalReferences>
    <externalReference r:id="rId6"/>
  </externalReferences>
  <definedNames>
    <definedName name="FID_1">[1]AGR_Fuels!$A$2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General_)"/>
    <numFmt numFmtId="165" formatCode="\Te\x\t"/>
    <numFmt numFmtId="166" formatCode="_-* #,##0.00_-;\-* #,##0.00_-;_-* &quot;-&quot;??_-;_-@_-"/>
  </numFmts>
  <fonts count="28">
    <font>
      <name val="Arial"/>
      <sz val="10"/>
    </font>
    <font>
      <name val="Arial"/>
      <sz val="10"/>
    </font>
    <font>
      <name val="Courier"/>
      <family val="3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Tahoma"/>
      <family val="2"/>
      <color indexed="81"/>
      <sz val="8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Arial"/>
      <family val="2"/>
      <b val="1"/>
      <sz val="9"/>
    </font>
    <font>
      <name val="Arial"/>
      <family val="2"/>
      <sz val="9"/>
    </font>
    <font>
      <name val="Tahoma"/>
      <family val="2"/>
      <color indexed="81"/>
      <sz val="9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FF0000"/>
      <sz val="12"/>
      <scheme val="minor"/>
    </font>
    <font>
      <name val="Arial"/>
      <family val="2"/>
      <color theme="1"/>
      <sz val="8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color theme="9" tint="-0.249977111117893"/>
      <sz val="10"/>
    </font>
    <font>
      <name val="Arial"/>
      <family val="2"/>
      <b val="1"/>
      <color rgb="FFFF0000"/>
      <sz val="14"/>
    </font>
  </fonts>
  <fills count="1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1">
    <xf numFmtId="0" fontId="1" fillId="0" borderId="0"/>
    <xf numFmtId="0" fontId="16" fillId="3" borderId="0"/>
    <xf numFmtId="0" fontId="17" fillId="4" borderId="0"/>
    <xf numFmtId="0" fontId="17" fillId="5" borderId="0"/>
    <xf numFmtId="0" fontId="18" fillId="6" borderId="12"/>
    <xf numFmtId="166" fontId="16" fillId="0" borderId="0"/>
    <xf numFmtId="0" fontId="19" fillId="7" borderId="0"/>
    <xf numFmtId="0" fontId="20" fillId="8" borderId="12"/>
    <xf numFmtId="0" fontId="21" fillId="9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" fillId="0" borderId="0"/>
    <xf numFmtId="9" fontId="1" fillId="0" borderId="0"/>
    <xf numFmtId="9" fontId="15" fillId="0" borderId="0"/>
    <xf numFmtId="9" fontId="15" fillId="0" borderId="0"/>
    <xf numFmtId="9" fontId="15" fillId="0" borderId="0"/>
    <xf numFmtId="0" fontId="15" fillId="0" borderId="0"/>
  </cellStyleXfs>
  <cellXfs count="130">
    <xf numFmtId="0" fontId="0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11">
      <alignment horizontal="left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1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17" fillId="5" borderId="0" pivotButton="0" quotePrefix="0" xfId="3"/>
    <xf numFmtId="0" fontId="22" fillId="10" borderId="0" pivotButton="0" quotePrefix="0" xfId="6"/>
    <xf numFmtId="0" fontId="23" fillId="3" borderId="3" applyAlignment="1" pivotButton="0" quotePrefix="0" xfId="1">
      <alignment horizontal="center" wrapText="1"/>
    </xf>
    <xf numFmtId="0" fontId="23" fillId="3" borderId="3" applyAlignment="1" pivotButton="0" quotePrefix="0" xfId="1">
      <alignment horizontal="left" wrapText="1"/>
    </xf>
    <xf numFmtId="0" fontId="23" fillId="3" borderId="1" applyAlignment="1" pivotButton="0" quotePrefix="0" xfId="1">
      <alignment horizontal="left" wrapText="1"/>
    </xf>
    <xf numFmtId="0" fontId="3" fillId="2" borderId="4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" fontId="0" fillId="0" borderId="0" pivotButton="0" quotePrefix="0" xfId="0"/>
    <xf numFmtId="0" fontId="0" fillId="0" borderId="0" applyAlignment="1" pivotButton="0" quotePrefix="0" xfId="0">
      <alignment wrapText="1"/>
    </xf>
    <xf numFmtId="0" fontId="24" fillId="0" borderId="0" pivotButton="0" quotePrefix="0" xfId="0"/>
    <xf numFmtId="0" fontId="4" fillId="0" borderId="5" pivotButton="0" quotePrefix="0" xfId="0"/>
    <xf numFmtId="0" fontId="4" fillId="0" borderId="6" pivotButton="0" quotePrefix="0" xfId="0"/>
    <xf numFmtId="9" fontId="25" fillId="0" borderId="6" pivotButton="0" quotePrefix="0" xfId="16"/>
    <xf numFmtId="0" fontId="4" fillId="0" borderId="7" pivotButton="0" quotePrefix="0" xfId="0"/>
    <xf numFmtId="9" fontId="25" fillId="0" borderId="7" pivotButton="0" quotePrefix="0" xfId="16"/>
    <xf numFmtId="0" fontId="4" fillId="0" borderId="0" pivotButton="0" quotePrefix="0" xfId="0"/>
    <xf numFmtId="9" fontId="25" fillId="0" borderId="0" pivotButton="0" quotePrefix="0" xfId="16"/>
    <xf numFmtId="0" fontId="17" fillId="5" borderId="0" applyAlignment="1" pivotButton="0" quotePrefix="0" xfId="3">
      <alignment wrapText="1"/>
    </xf>
    <xf numFmtId="0" fontId="3" fillId="0" borderId="0" pivotButton="0" quotePrefix="0" xfId="0"/>
    <xf numFmtId="1" fontId="4" fillId="0" borderId="0" pivotButton="0" quotePrefix="0" xfId="9"/>
    <xf numFmtId="0" fontId="4" fillId="0" borderId="8" pivotButton="0" quotePrefix="0" xfId="0"/>
    <xf numFmtId="0" fontId="3" fillId="0" borderId="2" applyAlignment="1" pivotButton="0" quotePrefix="0" xfId="0">
      <alignment horizontal="center" wrapText="1"/>
    </xf>
    <xf numFmtId="0" fontId="26" fillId="0" borderId="0" pivotButton="0" quotePrefix="0" xfId="0"/>
    <xf numFmtId="0" fontId="22" fillId="10" borderId="0" applyAlignment="1" pivotButton="0" quotePrefix="0" xfId="6">
      <alignment horizontal="left"/>
    </xf>
    <xf numFmtId="1" fontId="0" fillId="11" borderId="0" pivotButton="0" quotePrefix="0" xfId="0"/>
    <xf numFmtId="1" fontId="3" fillId="11" borderId="0" pivotButton="0" quotePrefix="0" xfId="0"/>
    <xf numFmtId="1" fontId="0" fillId="11" borderId="0" pivotButton="0" quotePrefix="0" xfId="0"/>
    <xf numFmtId="0" fontId="26" fillId="12" borderId="2" applyAlignment="1" pivotButton="0" quotePrefix="0" xfId="0">
      <alignment wrapText="1"/>
    </xf>
    <xf numFmtId="0" fontId="3" fillId="12" borderId="2" applyAlignment="1" pivotButton="0" quotePrefix="0" xfId="0">
      <alignment wrapText="1"/>
    </xf>
    <xf numFmtId="0" fontId="26" fillId="12" borderId="0" pivotButton="0" quotePrefix="0" xfId="0"/>
    <xf numFmtId="1" fontId="0" fillId="13" borderId="0" pivotButton="0" quotePrefix="0" xfId="0"/>
    <xf numFmtId="1" fontId="3" fillId="13" borderId="0" pivotButton="0" quotePrefix="0" xfId="0"/>
    <xf numFmtId="0" fontId="0" fillId="13" borderId="0" pivotButton="0" quotePrefix="0" xfId="0"/>
    <xf numFmtId="1" fontId="0" fillId="14" borderId="0" pivotButton="0" quotePrefix="0" xfId="0"/>
    <xf numFmtId="1" fontId="0" fillId="14" borderId="2" pivotButton="0" quotePrefix="0" xfId="0"/>
    <xf numFmtId="0" fontId="0" fillId="14" borderId="0" pivotButton="0" quotePrefix="0" xfId="0"/>
    <xf numFmtId="1" fontId="3" fillId="14" borderId="0" pivotButton="0" quotePrefix="0" xfId="0"/>
    <xf numFmtId="1" fontId="3" fillId="14" borderId="2" pivotButton="0" quotePrefix="0" xfId="0"/>
    <xf numFmtId="1" fontId="20" fillId="8" borderId="0" pivotButton="0" quotePrefix="0" xfId="7"/>
    <xf numFmtId="1" fontId="18" fillId="6" borderId="4" applyAlignment="1" pivotButton="0" quotePrefix="0" xfId="4">
      <alignment horizontal="right"/>
    </xf>
    <xf numFmtId="1" fontId="20" fillId="8" borderId="4" pivotButton="0" quotePrefix="0" xfId="7"/>
    <xf numFmtId="1" fontId="18" fillId="6" borderId="9" applyAlignment="1" pivotButton="0" quotePrefix="0" xfId="4">
      <alignment horizontal="right"/>
    </xf>
    <xf numFmtId="164" fontId="18" fillId="6" borderId="5" applyAlignment="1" pivotButton="0" quotePrefix="0" xfId="4">
      <alignment horizontal="right" vertical="center"/>
    </xf>
    <xf numFmtId="0" fontId="3" fillId="0" borderId="2" pivotButton="0" quotePrefix="0" xfId="0"/>
    <xf numFmtId="1" fontId="18" fillId="6" borderId="13" applyAlignment="1" pivotButton="0" quotePrefix="0" xfId="4">
      <alignment horizontal="right"/>
    </xf>
    <xf numFmtId="1" fontId="18" fillId="6" borderId="14" applyAlignment="1" pivotButton="0" quotePrefix="0" xfId="4">
      <alignment horizontal="right"/>
    </xf>
    <xf numFmtId="164" fontId="13" fillId="13" borderId="6" applyAlignment="1" pivotButton="0" quotePrefix="0" xfId="0">
      <alignment horizontal="left" vertical="center"/>
    </xf>
    <xf numFmtId="164" fontId="13" fillId="13" borderId="10" applyAlignment="1" pivotButton="0" quotePrefix="0" xfId="0">
      <alignment horizontal="left" vertical="center"/>
    </xf>
    <xf numFmtId="164" fontId="13" fillId="14" borderId="6" applyAlignment="1" pivotButton="0" quotePrefix="0" xfId="0">
      <alignment horizontal="left" vertical="center"/>
    </xf>
    <xf numFmtId="164" fontId="13" fillId="14" borderId="10" applyAlignment="1" pivotButton="0" quotePrefix="0" xfId="0">
      <alignment horizontal="left" vertical="center"/>
    </xf>
    <xf numFmtId="164" fontId="13" fillId="14" borderId="7" applyAlignment="1" pivotButton="0" quotePrefix="0" xfId="0">
      <alignment horizontal="left" vertical="center"/>
    </xf>
    <xf numFmtId="1" fontId="4" fillId="15" borderId="0" pivotButton="0" quotePrefix="0" xfId="0"/>
    <xf numFmtId="1" fontId="0" fillId="15" borderId="0" pivotButton="0" quotePrefix="0" xfId="0"/>
    <xf numFmtId="0" fontId="0" fillId="15" borderId="0" pivotButton="0" quotePrefix="0" xfId="0"/>
    <xf numFmtId="0" fontId="4" fillId="13" borderId="0" pivotButton="0" quotePrefix="0" xfId="8"/>
    <xf numFmtId="2" fontId="4" fillId="13" borderId="0" pivotButton="0" quotePrefix="0" xfId="0"/>
    <xf numFmtId="0" fontId="27" fillId="0" borderId="0" pivotButton="0" quotePrefix="0" xfId="0"/>
    <xf numFmtId="0" fontId="3" fillId="16" borderId="0" pivotButton="0" quotePrefix="0" xfId="0"/>
    <xf numFmtId="1" fontId="4" fillId="15" borderId="0" pivotButton="0" quotePrefix="0" xfId="8"/>
    <xf numFmtId="0" fontId="22" fillId="10" borderId="0" applyAlignment="1" pivotButton="0" quotePrefix="0" xfId="6">
      <alignment wrapText="1"/>
    </xf>
    <xf numFmtId="0" fontId="22" fillId="0" borderId="0" pivotButton="0" quotePrefix="0" xfId="6"/>
    <xf numFmtId="0" fontId="4" fillId="0" borderId="0" applyAlignment="1" pivotButton="0" quotePrefix="0" xfId="11">
      <alignment horizontal="left"/>
    </xf>
    <xf numFmtId="0" fontId="4" fillId="0" borderId="0" applyAlignment="1" pivotButton="0" quotePrefix="0" xfId="11">
      <alignment horizontal="right"/>
    </xf>
    <xf numFmtId="0" fontId="25" fillId="0" borderId="0" pivotButton="0" quotePrefix="0" xfId="0"/>
    <xf numFmtId="0" fontId="3" fillId="2" borderId="1" applyAlignment="1" pivotButton="0" quotePrefix="0" xfId="11">
      <alignment horizontal="left" vertical="center"/>
    </xf>
    <xf numFmtId="0" fontId="23" fillId="3" borderId="11" applyAlignment="1" pivotButton="0" quotePrefix="0" xfId="1">
      <alignment horizontal="center" wrapText="1"/>
    </xf>
    <xf numFmtId="2" fontId="0" fillId="13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17" fillId="4" borderId="0" pivotButton="0" quotePrefix="0" xfId="2"/>
    <xf numFmtId="0" fontId="0" fillId="0" borderId="4" pivotButton="0" quotePrefix="0" xfId="0"/>
    <xf numFmtId="1" fontId="20" fillId="8" borderId="1" pivotButton="0" quotePrefix="0" xfId="7"/>
    <xf numFmtId="1" fontId="18" fillId="6" borderId="15" applyAlignment="1" pivotButton="0" quotePrefix="0" xfId="4">
      <alignment horizontal="right"/>
    </xf>
    <xf numFmtId="164" fontId="12" fillId="0" borderId="5" applyAlignment="1" pivotButton="0" quotePrefix="0" xfId="0">
      <alignment horizontal="left" vertical="center"/>
    </xf>
    <xf numFmtId="164" fontId="13" fillId="11" borderId="10" applyAlignment="1" pivotButton="0" quotePrefix="0" xfId="0">
      <alignment horizontal="left" vertical="center"/>
    </xf>
    <xf numFmtId="164" fontId="12" fillId="0" borderId="7" applyAlignment="1" pivotButton="0" quotePrefix="0" xfId="0">
      <alignment horizontal="left" vertical="center"/>
    </xf>
    <xf numFmtId="0" fontId="23" fillId="3" borderId="4" applyAlignment="1" pivotButton="0" quotePrefix="0" xfId="1">
      <alignment horizontal="left" wrapText="1"/>
    </xf>
    <xf numFmtId="0" fontId="3" fillId="2" borderId="1" applyAlignment="1" pivotButton="0" quotePrefix="0" xfId="11">
      <alignment horizontal="left" vertical="center" wrapText="1"/>
    </xf>
    <xf numFmtId="0" fontId="3" fillId="0" borderId="0" pivotButton="0" quotePrefix="0" xfId="0"/>
    <xf numFmtId="1" fontId="0" fillId="0" borderId="0" pivotButton="0" quotePrefix="0" xfId="0"/>
    <xf numFmtId="0" fontId="3" fillId="0" borderId="0" applyAlignment="1" pivotButton="0" quotePrefix="0" xfId="0">
      <alignment vertical="center"/>
    </xf>
    <xf numFmtId="0" fontId="23" fillId="0" borderId="0" applyAlignment="1" pivotButton="0" quotePrefix="0" xfId="1">
      <alignment horizontal="left" wrapText="1"/>
    </xf>
    <xf numFmtId="0" fontId="4" fillId="0" borderId="0" pivotButton="0" quotePrefix="0" xfId="8"/>
    <xf numFmtId="2" fontId="4" fillId="0" borderId="0" pivotButton="0" quotePrefix="0" xfId="0"/>
    <xf numFmtId="1" fontId="4" fillId="13" borderId="0" pivotButton="0" quotePrefix="0" xfId="8"/>
    <xf numFmtId="0" fontId="3" fillId="2" borderId="1" applyAlignment="1" pivotButton="0" quotePrefix="0" xfId="0">
      <alignment horizontal="center"/>
    </xf>
    <xf numFmtId="165" fontId="5" fillId="0" borderId="0" pivotButton="0" quotePrefix="0" xfId="0"/>
    <xf numFmtId="165" fontId="4" fillId="0" borderId="0" pivotButton="0" quotePrefix="0" xfId="0"/>
    <xf numFmtId="165" fontId="3" fillId="2" borderId="1" applyAlignment="1" pivotButton="0" quotePrefix="0" xfId="0">
      <alignment horizontal="left"/>
    </xf>
    <xf numFmtId="165" fontId="3" fillId="2" borderId="4" applyAlignment="1" pivotButton="0" quotePrefix="0" xfId="0">
      <alignment horizontal="left"/>
    </xf>
    <xf numFmtId="165" fontId="23" fillId="3" borderId="3" applyAlignment="1" pivotButton="0" quotePrefix="0" xfId="1">
      <alignment horizontal="left" wrapText="1"/>
    </xf>
    <xf numFmtId="165" fontId="4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23" fillId="3" borderId="3" applyAlignment="1" pivotButton="0" quotePrefix="0" xfId="1">
      <alignment horizontal="center" wrapText="1"/>
    </xf>
    <xf numFmtId="165" fontId="0" fillId="0" borderId="0" applyAlignment="1" pivotButton="0" quotePrefix="0" xfId="0">
      <alignment wrapText="1"/>
    </xf>
    <xf numFmtId="165" fontId="0" fillId="0" borderId="0" pivotButton="0" quotePrefix="0" xfId="0"/>
    <xf numFmtId="164" fontId="12" fillId="0" borderId="5" applyAlignment="1" pivotButton="0" quotePrefix="0" xfId="0">
      <alignment horizontal="left" vertical="center"/>
    </xf>
    <xf numFmtId="164" fontId="13" fillId="11" borderId="10" applyAlignment="1" pivotButton="0" quotePrefix="0" xfId="0">
      <alignment horizontal="left" vertical="center"/>
    </xf>
    <xf numFmtId="164" fontId="18" fillId="6" borderId="5" applyAlignment="1" pivotButton="0" quotePrefix="0" xfId="4">
      <alignment horizontal="right" vertical="center"/>
    </xf>
    <xf numFmtId="164" fontId="12" fillId="0" borderId="7" applyAlignment="1" pivotButton="0" quotePrefix="0" xfId="0">
      <alignment horizontal="left" vertical="center"/>
    </xf>
    <xf numFmtId="164" fontId="13" fillId="13" borderId="6" applyAlignment="1" pivotButton="0" quotePrefix="0" xfId="0">
      <alignment horizontal="left" vertical="center"/>
    </xf>
    <xf numFmtId="164" fontId="13" fillId="13" borderId="10" applyAlignment="1" pivotButton="0" quotePrefix="0" xfId="0">
      <alignment horizontal="left" vertical="center"/>
    </xf>
    <xf numFmtId="164" fontId="13" fillId="14" borderId="6" applyAlignment="1" pivotButton="0" quotePrefix="0" xfId="0">
      <alignment horizontal="left" vertical="center"/>
    </xf>
    <xf numFmtId="164" fontId="13" fillId="14" borderId="10" applyAlignment="1" pivotButton="0" quotePrefix="0" xfId="0">
      <alignment horizontal="left" vertical="center"/>
    </xf>
    <xf numFmtId="164" fontId="13" fillId="14" borderId="7" applyAlignment="1" pivotButton="0" quotePrefix="0" xfId="0">
      <alignment horizontal="left" vertical="center"/>
    </xf>
    <xf numFmtId="165" fontId="5" fillId="0" borderId="0" pivotButton="0" quotePrefix="0" xfId="0"/>
    <xf numFmtId="165" fontId="4" fillId="0" borderId="0" pivotButton="0" quotePrefix="0" xfId="0"/>
    <xf numFmtId="165" fontId="3" fillId="2" borderId="1" applyAlignment="1" pivotButton="0" quotePrefix="0" xfId="0">
      <alignment horizontal="left"/>
    </xf>
    <xf numFmtId="165" fontId="3" fillId="2" borderId="4" applyAlignment="1" pivotButton="0" quotePrefix="0" xfId="0">
      <alignment horizontal="left"/>
    </xf>
    <xf numFmtId="165" fontId="23" fillId="3" borderId="3" applyAlignment="1" pivotButton="0" quotePrefix="0" xfId="1">
      <alignment horizontal="left" wrapText="1"/>
    </xf>
    <xf numFmtId="165" fontId="0" fillId="0" borderId="0" pivotButton="0" quotePrefix="0" xfId="0"/>
    <xf numFmtId="165" fontId="23" fillId="3" borderId="3" applyAlignment="1" pivotButton="0" quotePrefix="0" xfId="1">
      <alignment horizontal="center" wrapText="1"/>
    </xf>
    <xf numFmtId="165" fontId="0" fillId="0" borderId="0" applyAlignment="1" pivotButton="0" quotePrefix="0" xfId="0">
      <alignment wrapText="1"/>
    </xf>
  </cellXfs>
  <cellStyles count="21">
    <cellStyle name="Normal" xfId="0" builtinId="0"/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/>
    <cellStyle name="Good" xfId="6" builtinId="26"/>
    <cellStyle name="Input" xfId="7" builtinId="20"/>
    <cellStyle name="Neutral" xfId="8" builtinId="28"/>
    <cellStyle name="Normal 10" xfId="9"/>
    <cellStyle name="Normal 2" xfId="10"/>
    <cellStyle name="Normal 4" xfId="11"/>
    <cellStyle name="Normal 4 2" xfId="12"/>
    <cellStyle name="Normal 8" xfId="13"/>
    <cellStyle name="Normal 9 2" xfId="14"/>
    <cellStyle name="Normale_B2020" xfId="15"/>
    <cellStyle name="Percent" xfId="16" builtinId="5"/>
    <cellStyle name="Percent 2" xfId="17"/>
    <cellStyle name="Percent 3" xfId="18"/>
    <cellStyle name="Percent 4" xfId="19"/>
    <cellStyle name="Standard_Sce_D_Extraction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Maurizio Gargiulo</author>
  </authors>
  <commentList>
    <comment ref="C19" authorId="0" shapeId="0">
      <text>
        <t>Includes fisheries consumption</t>
      </text>
    </comment>
  </commentList>
</comments>
</file>

<file path=xl/comments/comment2.xml><?xml version="1.0" encoding="utf-8"?>
<comments xmlns="http://schemas.openxmlformats.org/spreadsheetml/2006/main">
  <authors>
    <author>Gary Goldstein</author>
    <author>Amit Kanudia</author>
    <author>Maurizio Gargiulo</author>
  </authors>
  <commentList>
    <comment ref="K3" authorId="0" shapeId="0">
      <text>
        <t>Csets declarations are inherited until the next one is encountered.
Allowed Cset:
NRG (Energy)
ENV (Emission)
DEM (Demand)
MAT (Material)
FIN (Financial)</t>
      </text>
    </comment>
    <comment ref="P3" authorId="1" shapeId="0">
      <text>
        <t>Amit Kanudia:
LO for PRODUCTION &gt;= CONSUMPTION (Default)
FX for PRODUCTION = CONSUMPTION
UP for PRODUCTION &lt;= CONSUMPTION</t>
      </text>
    </comment>
    <comment ref="Q3" authorId="2" shapeId="0">
      <text>
        <t>Allowed CTSLvl
SEASON (Seasonal level)
WEEKLY (Weekly level)
DAYNITE (day and night level)</t>
      </text>
    </comment>
    <comment ref="R3" authorId="2" shapeId="0">
      <text>
        <t>Allowed PeakTS
ANNUAL (to generate Peak Equation for all the TimeSlices)
User TS (to generate Peak Equation for a single TS)</t>
      </text>
    </comment>
    <comment ref="S3" authorId="2" shapeId="0">
      <text>
        <t>Allowed Ctype
ELC (Electricity)</t>
      </text>
    </comment>
    <comment ref="I8" authorId="2" shapeId="0">
      <text>
        <t>This attribute is used to assign a production limit by period.
By defautt is defined like fixed share
UP
If you want fix or lower add
~FX
~LO</t>
      </text>
    </comment>
    <comment ref="Q8" authorId="2" shapeId="0">
      <text>
        <t>Allowed TsLvl
ANNUAL (Annual level)
SEASON (Seasonal level)
WEEKLY (Weekly level)
DAYNITE (day and night level)</t>
      </text>
    </comment>
    <comment ref="R8" authorId="1" shapeId="0">
      <text>
        <t xml:space="preserve">Amit Kanudia:
Needed only when one wants to override the VEDA default assignment
</t>
      </text>
    </comment>
    <comment ref="S8" authorId="2" shapeId="0">
      <text>
        <t>Allowed Vintage
NO (if empty by default mean NO)
YES</t>
      </text>
    </comment>
    <comment ref="K9" authorId="2" shapeId="0">
      <text>
        <t>Sets declarations are inherited. 
Allowed Process Sets
ELE (Thermal Electric Power Plant)
CHP (Combined Heat and Power)
STGTSS (Pump Storage)
STGIPS (Pump Storage IP)
PRE (Genric Process/Technology)
DMD (Demand Device)
IMP (Import)
EXP (Export)
MIN (Mining Process)
RNW (Renewable Technology)
HPL (Heating Plant)</t>
      </text>
    </comment>
  </commentList>
</comments>
</file>

<file path=xl/comments/comment3.xml><?xml version="1.0" encoding="utf-8"?>
<comments xmlns="http://schemas.openxmlformats.org/spreadsheetml/2006/main">
  <authors>
    <author>Gary Goldstein</author>
    <author>Amit Kanudia</author>
    <author>Maurizio Gargiulo</author>
  </authors>
  <commentList>
    <comment ref="L3" authorId="0" shapeId="0">
      <text>
        <t>Csets declarations are inherited until the next one is encountered.
Allowed Cset:
NRG (Energy)
ENV (Emission)
DEM (Demand)
MAT (Material)
FIN (Financial)</t>
      </text>
    </comment>
    <comment ref="Q3" authorId="1" shapeId="0">
      <text>
        <t>Amit Kanudia:
LO for PRODUCTION &gt;= CONSUMPTION (Default)
FX for PRODUCTION = CONSUMPTION
UP for PRODUCTION &lt;= CONSUMPTION</t>
      </text>
    </comment>
    <comment ref="R3" authorId="2" shapeId="0">
      <text>
        <t>Allowed CTSLvl
SEASON (Seasonal level)
WEEKLY (Weekly level)
DAYNITE (day and night level)</t>
      </text>
    </comment>
    <comment ref="S3" authorId="2" shapeId="0">
      <text>
        <t>Allowed PeakTS
ANNUAL (to generate Peak Equation for all the TimeSlices)
User TS (to generate Peak Equation for a single TS)</t>
      </text>
    </comment>
    <comment ref="T3" authorId="2" shapeId="0">
      <text>
        <t>Allowed Ctype
ELC (Electricity)</t>
      </text>
    </comment>
    <comment ref="R9" authorId="2" shapeId="0">
      <text>
        <t>Allowed TsLvl
ANNUAL (Annual level)
SEASON (Seasonal level)
WEEKLY (Weekly level)
DAYNITE (day and night level)</t>
      </text>
    </comment>
    <comment ref="S9" authorId="1" shapeId="0">
      <text>
        <t xml:space="preserve">Amit Kanudia:
Needed only when one wants to override the VEDA default assignment
</t>
      </text>
    </comment>
    <comment ref="T9" authorId="2" shapeId="0">
      <text>
        <t>Allowed Vintage
NO (if empty by default mean NO)
YES</t>
      </text>
    </comment>
    <comment ref="L10" authorId="2" shapeId="0">
      <text>
        <t>Sets declarations are inherited. 
Allowed Process Sets
ELE (Thermal Electric Power Plant)
CHP (Combined Heat and Power)
STGTSS (Pump Storage)
STGIPS (Pump Storage IP)
PRE (Genric Process/Technology)
DMD (Demand Device)
IMP (Import)
EXP (Export)
MIN (Mining Process)
RNW (Renewable Technology)
HPL (Heating Plant)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Wolfgang\c\temphold\TMPL_R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zoomScale="90" zoomScaleNormal="90" workbookViewId="0">
      <selection activeCell="F4" sqref="F4"/>
    </sheetView>
  </sheetViews>
  <sheetFormatPr baseColWidth="8" defaultRowHeight="12.75"/>
  <cols>
    <col width="3" bestFit="1" customWidth="1" style="82" min="1" max="1"/>
    <col width="5.42578125" bestFit="1" customWidth="1" style="82" min="2" max="2"/>
    <col width="40.140625" bestFit="1" customWidth="1" style="82" min="3" max="3"/>
    <col width="13.28515625" customWidth="1" style="82" min="4" max="5"/>
    <col width="15.42578125" customWidth="1" style="82" min="6" max="6"/>
    <col width="13.28515625" customWidth="1" style="82" min="7" max="11"/>
    <col width="10.5703125" customWidth="1" style="82" min="12" max="12"/>
    <col width="10.85546875" customWidth="1" style="82" min="13" max="13"/>
    <col width="15.5703125" bestFit="1" customWidth="1" style="82" min="14" max="14"/>
    <col width="2" bestFit="1" customWidth="1" style="82" min="15" max="15"/>
    <col width="12.28515625" bestFit="1" customWidth="1" style="82" min="16" max="16"/>
    <col width="6.7109375" bestFit="1" customWidth="1" style="82" min="18" max="18"/>
    <col width="9.28515625" bestFit="1" customWidth="1" style="82" min="19" max="19"/>
    <col width="2" bestFit="1" customWidth="1" style="82" min="20" max="20"/>
  </cols>
  <sheetData>
    <row r="1" s="82">
      <c r="P1" s="22" t="inlineStr">
        <is>
          <t>Default Units</t>
        </is>
      </c>
      <c r="Q1" s="28" t="inlineStr">
        <is>
          <t>Currency</t>
        </is>
      </c>
      <c r="R1" s="28" t="inlineStr">
        <is>
          <t>Activity</t>
        </is>
      </c>
      <c r="S1" s="28" t="inlineStr">
        <is>
          <t>Emissions</t>
        </is>
      </c>
    </row>
    <row r="2" ht="15.75" customHeight="1" s="82">
      <c r="D2" s="40" t="inlineStr">
        <is>
          <t>COA</t>
        </is>
      </c>
      <c r="E2" s="40" t="inlineStr">
        <is>
          <t>GAS</t>
        </is>
      </c>
      <c r="F2" s="40" t="inlineStr">
        <is>
          <t>OIL</t>
        </is>
      </c>
      <c r="G2" s="40" t="inlineStr">
        <is>
          <t>NUC</t>
        </is>
      </c>
      <c r="H2" s="40" t="inlineStr">
        <is>
          <t>RNW</t>
        </is>
      </c>
      <c r="I2" s="40" t="inlineStr">
        <is>
          <t>SLU</t>
        </is>
      </c>
      <c r="J2" s="40" t="inlineStr">
        <is>
          <t>HET</t>
        </is>
      </c>
      <c r="K2" s="40" t="inlineStr">
        <is>
          <t>ELC</t>
        </is>
      </c>
      <c r="L2" s="94" t="n"/>
      <c r="Q2" s="36" t="inlineStr">
        <is>
          <t>M€2005</t>
        </is>
      </c>
      <c r="R2" s="14" t="inlineStr">
        <is>
          <t>PJ</t>
        </is>
      </c>
      <c r="S2" s="14" t="inlineStr">
        <is>
          <t>kt</t>
        </is>
      </c>
    </row>
    <row r="3" ht="25.5" customHeight="1" s="82">
      <c r="C3" s="9" t="n"/>
      <c r="D3" s="41" t="inlineStr">
        <is>
          <t>Solid Fuels</t>
        </is>
      </c>
      <c r="E3" s="41" t="inlineStr">
        <is>
          <t>Natural Gas</t>
        </is>
      </c>
      <c r="F3" s="41" t="inlineStr">
        <is>
          <t>Crude Oil</t>
        </is>
      </c>
      <c r="G3" s="41" t="inlineStr">
        <is>
          <t>Nuclear Energy</t>
        </is>
      </c>
      <c r="H3" s="41" t="inlineStr">
        <is>
          <t>Renewable Energies</t>
        </is>
      </c>
      <c r="I3" s="41" t="inlineStr">
        <is>
          <t>Industrial Wastes</t>
        </is>
      </c>
      <c r="J3" s="41" t="inlineStr">
        <is>
          <t>Derived Heat</t>
        </is>
      </c>
      <c r="K3" s="41" t="inlineStr">
        <is>
          <t>Electricity</t>
        </is>
      </c>
      <c r="L3" s="34" t="inlineStr">
        <is>
          <t>Total</t>
        </is>
      </c>
    </row>
    <row r="4">
      <c r="C4" s="113" t="inlineStr">
        <is>
          <t>PRIMARY</t>
        </is>
      </c>
      <c r="E4" s="86" t="n"/>
      <c r="F4" s="86" t="n"/>
      <c r="G4" s="9" t="n"/>
      <c r="H4" s="9" t="n"/>
      <c r="I4" s="9" t="n"/>
      <c r="J4" s="9" t="n"/>
      <c r="K4" s="9" t="n"/>
      <c r="L4" s="9" t="n"/>
    </row>
    <row r="5" ht="15" customHeight="1" s="82">
      <c r="B5" s="42" t="inlineStr">
        <is>
          <t>MIN</t>
        </is>
      </c>
      <c r="C5" s="114" t="inlineStr">
        <is>
          <t>Domestic Supply</t>
        </is>
      </c>
      <c r="D5" s="87" t="n">
        <v>8098.358</v>
      </c>
      <c r="E5" s="39" t="n">
        <v>7899.497</v>
      </c>
      <c r="F5" s="39" t="n">
        <v>5378.512</v>
      </c>
      <c r="G5" s="39" t="n">
        <v>10775.149</v>
      </c>
      <c r="H5" s="39" t="n">
        <v>5026.6</v>
      </c>
      <c r="I5" s="39" t="n">
        <v>0</v>
      </c>
      <c r="J5" s="39" t="n">
        <v>0</v>
      </c>
      <c r="K5" s="39" t="n">
        <v>0</v>
      </c>
      <c r="L5" s="38">
        <f>SUM(D5:K5)</f>
        <v/>
      </c>
      <c r="P5" s="95" t="n"/>
    </row>
    <row r="6" ht="15" customHeight="1" s="82">
      <c r="B6" s="42" t="inlineStr">
        <is>
          <t>IMP</t>
        </is>
      </c>
      <c r="C6" s="114" t="inlineStr">
        <is>
          <t>Imports</t>
        </is>
      </c>
      <c r="D6" s="51" t="n">
        <v>6462.671</v>
      </c>
      <c r="E6" s="39" t="n">
        <v>13291.729</v>
      </c>
      <c r="F6" s="39" t="n">
        <v>39959.98</v>
      </c>
      <c r="G6" s="39" t="n">
        <v>0</v>
      </c>
      <c r="H6" s="39" t="n">
        <v>113.019</v>
      </c>
      <c r="I6" s="39" t="n">
        <v>0.007</v>
      </c>
      <c r="J6" s="39" t="n">
        <v>0.153</v>
      </c>
      <c r="K6" s="39" t="n">
        <v>1167.52</v>
      </c>
      <c r="L6" s="38">
        <f>SUM(D6:K6)</f>
        <v/>
      </c>
    </row>
    <row r="7" ht="15" customHeight="1" s="82">
      <c r="B7" s="42" t="inlineStr">
        <is>
          <t>EXP</t>
        </is>
      </c>
      <c r="C7" s="114" t="inlineStr">
        <is>
          <t>Exports</t>
        </is>
      </c>
      <c r="D7" s="51" t="n">
        <v>-1147.069</v>
      </c>
      <c r="E7" s="39" t="n">
        <v>-2516.331</v>
      </c>
      <c r="F7" s="39" t="n">
        <v>-14830.662</v>
      </c>
      <c r="G7" s="39" t="n">
        <v>0</v>
      </c>
      <c r="H7" s="39" t="n">
        <v>-72.404</v>
      </c>
      <c r="I7" s="39" t="n">
        <v>0</v>
      </c>
      <c r="J7" s="39" t="n">
        <v>-0.129</v>
      </c>
      <c r="K7" s="39" t="n">
        <v>-1126.804</v>
      </c>
      <c r="L7" s="38">
        <f>SUM(D7:K7)</f>
        <v/>
      </c>
      <c r="P7" s="95" t="n"/>
    </row>
    <row r="8" ht="15" customHeight="1" s="82">
      <c r="B8" s="85" t="inlineStr">
        <is>
          <t>TPS</t>
        </is>
      </c>
      <c r="C8" s="115" t="inlineStr">
        <is>
          <t>Total Primary Supply</t>
        </is>
      </c>
      <c r="D8" s="53">
        <f>SUM(D5:D7)</f>
        <v/>
      </c>
      <c r="E8" s="57">
        <f>SUM(E5:E7)</f>
        <v/>
      </c>
      <c r="F8" s="57">
        <f>SUM(F5:F7)</f>
        <v/>
      </c>
      <c r="G8" s="57">
        <f>SUM(G5:G7)</f>
        <v/>
      </c>
      <c r="H8" s="57">
        <f>SUM(H5:H7)</f>
        <v/>
      </c>
      <c r="I8" s="57">
        <f>SUM(I5:I7)</f>
        <v/>
      </c>
      <c r="J8" s="57">
        <f>SUM(J5:J7)</f>
        <v/>
      </c>
      <c r="K8" s="57">
        <f>SUM(K5:K7)</f>
        <v/>
      </c>
      <c r="L8" s="58">
        <f>SUM(L5:L7)</f>
        <v/>
      </c>
    </row>
    <row r="9">
      <c r="B9" s="35" t="n"/>
      <c r="C9" s="116" t="inlineStr">
        <is>
          <t>CONVERSION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56" t="n"/>
    </row>
    <row r="10">
      <c r="B10" s="42" t="inlineStr">
        <is>
          <t>ESC</t>
        </is>
      </c>
      <c r="C10" s="117" t="inlineStr">
        <is>
          <t>Energy Sector Consumption</t>
        </is>
      </c>
      <c r="D10" s="43" t="n">
        <v>-57.638</v>
      </c>
      <c r="E10" s="43" t="n">
        <v>-792.98</v>
      </c>
      <c r="F10" s="43" t="n">
        <v>-1848.605</v>
      </c>
      <c r="G10" s="43" t="n">
        <v>0</v>
      </c>
      <c r="H10" s="43" t="n">
        <v>-4.283</v>
      </c>
      <c r="I10" s="43" t="n">
        <v>-1.52</v>
      </c>
      <c r="J10" s="43" t="n">
        <v>0</v>
      </c>
      <c r="K10" s="43" t="n">
        <v>0</v>
      </c>
      <c r="L10" s="44">
        <f>SUM(D10:K10)</f>
        <v/>
      </c>
    </row>
    <row r="11">
      <c r="B11" s="42" t="inlineStr">
        <is>
          <t>ELC</t>
        </is>
      </c>
      <c r="C11" s="118" t="inlineStr">
        <is>
          <t>Electricity Plants</t>
        </is>
      </c>
      <c r="D11" s="43" t="n">
        <v>-9598.120000000001</v>
      </c>
      <c r="E11" s="43" t="n">
        <v>-5635.544</v>
      </c>
      <c r="F11" s="43" t="n">
        <v>-1224.609</v>
      </c>
      <c r="G11" s="43" t="n">
        <v>-10775.149</v>
      </c>
      <c r="H11" s="43" t="n">
        <v>-1255.692</v>
      </c>
      <c r="I11" s="43" t="n">
        <v>-32.949</v>
      </c>
      <c r="J11" s="43" t="n">
        <v>1737.559</v>
      </c>
      <c r="K11" s="43" t="n">
        <v>11581</v>
      </c>
      <c r="L11" s="44">
        <f>SUM(D11:K11)</f>
        <v/>
      </c>
    </row>
    <row r="12">
      <c r="B12" s="42" t="inlineStr">
        <is>
          <t>HPL</t>
        </is>
      </c>
      <c r="C12" s="118" t="inlineStr">
        <is>
          <t>Heat Plants</t>
        </is>
      </c>
      <c r="D12" s="43" t="n">
        <v>-161.396</v>
      </c>
      <c r="E12" s="43" t="n">
        <v>-301.301</v>
      </c>
      <c r="F12" s="43" t="n">
        <v>-49.649</v>
      </c>
      <c r="G12" s="43" t="n">
        <v>0</v>
      </c>
      <c r="H12" s="43" t="n">
        <v>-140.207</v>
      </c>
      <c r="I12" s="43" t="n">
        <v>-1.569</v>
      </c>
      <c r="J12" s="43" t="n">
        <v>658.7430000000001</v>
      </c>
      <c r="K12" s="43" t="n">
        <v>0</v>
      </c>
      <c r="L12" s="44">
        <f>SUM(D12:K12)</f>
        <v/>
      </c>
    </row>
    <row r="13">
      <c r="B13" s="42" t="inlineStr">
        <is>
          <t>REF</t>
        </is>
      </c>
      <c r="C13" s="118" t="inlineStr">
        <is>
          <t>Petroleum Refineries</t>
        </is>
      </c>
      <c r="D13" s="43" t="n"/>
      <c r="E13" s="43" t="n"/>
      <c r="F13" s="43" t="n">
        <v>-31736.461</v>
      </c>
      <c r="G13" s="43" t="n"/>
      <c r="H13" s="43" t="n"/>
      <c r="I13" s="43" t="n"/>
      <c r="J13" s="43" t="n"/>
      <c r="K13" s="43" t="n"/>
      <c r="L13" s="44">
        <f>SUM(D13:K13)</f>
        <v/>
      </c>
    </row>
    <row r="14" ht="15" customHeight="1" s="82">
      <c r="B14" s="35" t="n"/>
      <c r="C14" s="115" t="inlineStr">
        <is>
          <t>Total Conversion</t>
        </is>
      </c>
      <c r="D14" s="88">
        <f>SUM(D10:D13)</f>
        <v/>
      </c>
      <c r="E14" s="57">
        <f>SUM(E10:E13)</f>
        <v/>
      </c>
      <c r="F14" s="57">
        <f>SUM(F10:F13)</f>
        <v/>
      </c>
      <c r="G14" s="57">
        <f>SUM(G10:G13)</f>
        <v/>
      </c>
      <c r="H14" s="57">
        <f>SUM(H10:H13)</f>
        <v/>
      </c>
      <c r="I14" s="57">
        <f>SUM(I10:I13)</f>
        <v/>
      </c>
      <c r="J14" s="57">
        <f>SUM(J10:J13)</f>
        <v/>
      </c>
      <c r="K14" s="57">
        <f>SUM(K10:K13)</f>
        <v/>
      </c>
      <c r="L14" s="58">
        <f>SUM(L10:L13)</f>
        <v/>
      </c>
    </row>
    <row r="15">
      <c r="B15" s="35" t="n"/>
      <c r="C15" s="116" t="inlineStr">
        <is>
          <t>FINAL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56" t="n"/>
    </row>
    <row r="16">
      <c r="B16" s="42" t="inlineStr">
        <is>
          <t>RSD</t>
        </is>
      </c>
      <c r="C16" s="119" t="inlineStr">
        <is>
          <t>Residential</t>
        </is>
      </c>
      <c r="D16" s="46" t="n">
        <v>356.555</v>
      </c>
      <c r="E16" s="46" t="n">
        <v>5159.793</v>
      </c>
      <c r="F16" s="46" t="n">
        <v>2289.293</v>
      </c>
      <c r="G16" s="46" t="n">
        <v>0</v>
      </c>
      <c r="H16" s="46" t="n">
        <v>1293.927</v>
      </c>
      <c r="I16" s="46" t="n">
        <v>0</v>
      </c>
      <c r="J16" s="46" t="n">
        <v>865.485</v>
      </c>
      <c r="K16" s="46" t="n">
        <v>2871.742</v>
      </c>
      <c r="L16" s="49">
        <f>SUM(D16:K16)</f>
        <v/>
      </c>
    </row>
    <row r="17">
      <c r="B17" s="42" t="inlineStr">
        <is>
          <t>COM</t>
        </is>
      </c>
      <c r="C17" s="120" t="inlineStr">
        <is>
          <t>Commercial</t>
        </is>
      </c>
      <c r="D17" s="46" t="n">
        <v>56.925</v>
      </c>
      <c r="E17" s="46" t="n">
        <v>1751.73</v>
      </c>
      <c r="F17" s="46" t="n">
        <v>854.8099999999999</v>
      </c>
      <c r="G17" s="46" t="n">
        <v>0</v>
      </c>
      <c r="H17" s="46" t="n">
        <v>67.40600000000001</v>
      </c>
      <c r="I17" s="46" t="n">
        <v>1.217</v>
      </c>
      <c r="J17" s="46" t="n">
        <v>254.646</v>
      </c>
      <c r="K17" s="46" t="n">
        <v>2527.391</v>
      </c>
      <c r="L17" s="49">
        <f>SUM(D17:K17)</f>
        <v/>
      </c>
    </row>
    <row r="18">
      <c r="B18" s="42" t="inlineStr">
        <is>
          <t>IND</t>
        </is>
      </c>
      <c r="C18" s="120" t="inlineStr">
        <is>
          <t>Industry</t>
        </is>
      </c>
      <c r="D18" s="46" t="n">
        <v>1896.986</v>
      </c>
      <c r="E18" s="46" t="n">
        <v>4437.161</v>
      </c>
      <c r="F18" s="46" t="n">
        <v>2016.111</v>
      </c>
      <c r="G18" s="46" t="n">
        <v>0</v>
      </c>
      <c r="H18" s="46" t="n">
        <v>721.671</v>
      </c>
      <c r="I18" s="46" t="n">
        <v>117.192</v>
      </c>
      <c r="J18" s="46" t="n">
        <v>633.583</v>
      </c>
      <c r="K18" s="46" t="n">
        <v>4088.444</v>
      </c>
      <c r="L18" s="49">
        <f>SUM(D18:K18)</f>
        <v/>
      </c>
    </row>
    <row r="19">
      <c r="B19" s="42" t="inlineStr">
        <is>
          <t>AGR</t>
        </is>
      </c>
      <c r="C19" s="120" t="inlineStr">
        <is>
          <t>Agriculture</t>
        </is>
      </c>
      <c r="D19" s="46" t="n">
        <v>44.1</v>
      </c>
      <c r="E19" s="46" t="n">
        <v>201.206</v>
      </c>
      <c r="F19" s="46" t="n">
        <v>797.372</v>
      </c>
      <c r="G19" s="46" t="n">
        <v>0</v>
      </c>
      <c r="H19" s="46" t="n">
        <v>63.086</v>
      </c>
      <c r="I19" s="46" t="n">
        <v>0.001</v>
      </c>
      <c r="J19" s="46" t="n">
        <v>15.574</v>
      </c>
      <c r="K19" s="46" t="n">
        <v>19.386</v>
      </c>
      <c r="L19" s="49">
        <f>SUM(D19:K19)</f>
        <v/>
      </c>
    </row>
    <row r="20">
      <c r="B20" s="42" t="inlineStr">
        <is>
          <t>TRA</t>
        </is>
      </c>
      <c r="C20" s="120" t="inlineStr">
        <is>
          <t>Transport</t>
        </is>
      </c>
      <c r="D20" s="46" t="n">
        <v>0.556</v>
      </c>
      <c r="E20" s="46" t="n">
        <v>21.249</v>
      </c>
      <c r="F20" s="46" t="n">
        <v>14851.249</v>
      </c>
      <c r="G20" s="46" t="n">
        <v>0</v>
      </c>
      <c r="H20" s="46" t="n">
        <v>130.685</v>
      </c>
      <c r="I20" s="46" t="n">
        <v>0</v>
      </c>
      <c r="J20" s="46" t="n">
        <v>0</v>
      </c>
      <c r="K20" s="46" t="n">
        <v>265.972</v>
      </c>
      <c r="L20" s="49">
        <f>SUM(D20:K20)</f>
        <v/>
      </c>
    </row>
    <row r="21">
      <c r="B21" s="42" t="inlineStr">
        <is>
          <t>OTH</t>
        </is>
      </c>
      <c r="C21" s="121" t="inlineStr">
        <is>
          <t>Other</t>
        </is>
      </c>
      <c r="D21" s="47">
        <f>IF((SUM(D16:D20,D22:D23)-SUM(D10:D12))&gt;D8,0,(D8-SUM(D16:D20,D22:D23)+SUM(D10:D12)))</f>
        <v/>
      </c>
      <c r="E21" s="47">
        <f>IF((SUM(E16:E20,E22:E23)-SUM(E10:E12))&gt;E8,0,(E8-SUM(E16:E20,E22:E23)+SUM(E10:E12)))</f>
        <v/>
      </c>
      <c r="F21" s="47" t="n">
        <v>392.532000000004</v>
      </c>
      <c r="G21" s="47">
        <f>IF((SUM(G16:G20,G22:G23)-SUM(G10:G12))&gt;G8,0,(G8-SUM(G16:G20,G22:G23)+SUM(G10:G12)))</f>
        <v/>
      </c>
      <c r="H21" s="47">
        <f>IF((SUM(H16:H20,H22:H23)-SUM(H10:H12))&gt;H8,0,(H8-SUM(H16:H20,H22:H23)+SUM(H10:H12)))</f>
        <v/>
      </c>
      <c r="I21" s="47">
        <f>IF((SUM(I16:I20,I22:I23)-SUM(I10:I12))&gt;I8,0,(I8-SUM(I16:I20,I22:I23)+SUM(I10:I12)))</f>
        <v/>
      </c>
      <c r="J21" s="47">
        <f>IF((SUM(J16:J20,J22:J23)-SUM(J10:J12))&gt;J8,0,(J8-SUM(J16:J20,J22:J23)+SUM(J10:J12)))</f>
        <v/>
      </c>
      <c r="K21" s="47" t="n">
        <v>650</v>
      </c>
      <c r="L21" s="50">
        <f>SUM(D21:K21)</f>
        <v/>
      </c>
    </row>
    <row r="22">
      <c r="B22" s="42" t="inlineStr">
        <is>
          <t>NEN</t>
        </is>
      </c>
      <c r="C22" s="120" t="inlineStr">
        <is>
          <t>Non Energy</t>
        </is>
      </c>
      <c r="D22" s="46" t="n">
        <v>52.453</v>
      </c>
      <c r="E22" s="46" t="n">
        <v>633.823</v>
      </c>
      <c r="F22" s="46" t="n">
        <v>4072.508</v>
      </c>
      <c r="G22" s="48" t="n"/>
      <c r="H22" s="46" t="n">
        <v>0</v>
      </c>
      <c r="I22" s="46" t="n">
        <v>0</v>
      </c>
      <c r="J22" s="46" t="n">
        <v>0</v>
      </c>
      <c r="K22" s="46" t="n">
        <v>0</v>
      </c>
      <c r="L22" s="49">
        <f>SUM(D22:K22)</f>
        <v/>
      </c>
    </row>
    <row r="23">
      <c r="B23" s="42" t="inlineStr">
        <is>
          <t>BNK</t>
        </is>
      </c>
      <c r="C23" s="120" t="inlineStr">
        <is>
          <t>Bunkers</t>
        </is>
      </c>
      <c r="D23" s="46" t="n">
        <v>0</v>
      </c>
      <c r="E23" s="46" t="n">
        <v>0</v>
      </c>
      <c r="F23" s="46" t="n">
        <v>2111.092</v>
      </c>
      <c r="G23" s="48" t="n"/>
      <c r="H23" s="46" t="n">
        <v>0</v>
      </c>
      <c r="I23" s="46" t="n">
        <v>0</v>
      </c>
      <c r="J23" s="46" t="n">
        <v>0</v>
      </c>
      <c r="K23" s="46" t="n">
        <v>0</v>
      </c>
      <c r="L23" s="49">
        <f>SUM(D23:K23)</f>
        <v/>
      </c>
    </row>
    <row r="24" ht="15" customHeight="1" s="82">
      <c r="B24" s="85" t="inlineStr">
        <is>
          <t>TFC</t>
        </is>
      </c>
      <c r="C24" s="115" t="inlineStr">
        <is>
          <t>Total Final Consumption</t>
        </is>
      </c>
      <c r="D24" s="52">
        <f>SUM(D16:D23)</f>
        <v/>
      </c>
      <c r="E24" s="52">
        <f>SUM(E16:E23)</f>
        <v/>
      </c>
      <c r="F24" s="52">
        <f>SUM(F16:F23)</f>
        <v/>
      </c>
      <c r="G24" s="52">
        <f>SUM(G16:G23)</f>
        <v/>
      </c>
      <c r="H24" s="52">
        <f>SUM(H16:H23)</f>
        <v/>
      </c>
      <c r="I24" s="52">
        <f>SUM(I16:I23)</f>
        <v/>
      </c>
      <c r="J24" s="52">
        <f>SUM(J16:J23)</f>
        <v/>
      </c>
      <c r="K24" s="52">
        <f>SUM(K16:K23)</f>
        <v/>
      </c>
      <c r="L24" s="54">
        <f>SUM(L16:L23)</f>
        <v/>
      </c>
    </row>
    <row r="25">
      <c r="D25" s="95" t="n"/>
      <c r="F25" s="95" t="n"/>
      <c r="G25" s="95" t="n"/>
      <c r="H25" s="95" t="n"/>
      <c r="I25" s="95" t="n"/>
      <c r="J25" s="95" t="n"/>
      <c r="K25" s="95" t="n"/>
      <c r="L25" s="95" t="n"/>
    </row>
    <row r="26">
      <c r="D26" s="95" t="n"/>
      <c r="F26" s="95" t="n"/>
      <c r="G26" s="95" t="n"/>
      <c r="H26" s="95" t="n"/>
      <c r="I26" s="95" t="n"/>
      <c r="J26" s="95" t="n"/>
      <c r="K26" s="95" t="n"/>
      <c r="L26" s="95" t="n"/>
      <c r="M26" s="95" t="n"/>
    </row>
    <row r="27" ht="15" customHeight="1" s="82">
      <c r="C27" s="51" t="inlineStr">
        <is>
          <t>Data used in the template to buld the model</t>
        </is>
      </c>
      <c r="D27" s="51" t="n"/>
      <c r="E27" s="51" t="n"/>
      <c r="F27" s="95" t="n"/>
      <c r="G27" s="95" t="n"/>
      <c r="H27" s="95" t="n"/>
      <c r="I27" s="95" t="n"/>
      <c r="J27" s="95" t="n"/>
      <c r="K27" s="95" t="n"/>
      <c r="L27" s="95" t="n"/>
      <c r="M27" s="95" t="n"/>
    </row>
    <row r="28">
      <c r="D28" s="95" t="n"/>
      <c r="F28" s="95" t="n"/>
      <c r="G28" s="95" t="n"/>
      <c r="H28" s="95" t="n"/>
      <c r="I28" s="95" t="n"/>
      <c r="J28" s="95" t="n"/>
      <c r="K28" s="95" t="n"/>
      <c r="L28" s="95" t="n"/>
      <c r="M28" s="95" t="n"/>
    </row>
    <row r="29">
      <c r="D29" s="95" t="n"/>
      <c r="F29" s="95" t="n"/>
      <c r="G29" s="95" t="n"/>
      <c r="H29" s="95" t="n"/>
      <c r="I29" s="95" t="n"/>
      <c r="J29" s="95" t="n"/>
      <c r="K29" s="95" t="n"/>
      <c r="L29" s="95" t="n"/>
      <c r="M29" s="95" t="n"/>
    </row>
    <row r="30">
      <c r="D30" s="95" t="n"/>
      <c r="F30" s="95" t="n"/>
      <c r="G30" s="95" t="n"/>
      <c r="H30" s="95" t="n"/>
      <c r="I30" s="95" t="n"/>
      <c r="J30" s="95" t="n"/>
      <c r="K30" s="95" t="n"/>
      <c r="L30" s="95" t="n"/>
      <c r="M30" s="95" t="n"/>
    </row>
    <row r="31">
      <c r="D31" s="95" t="n"/>
      <c r="F31" s="95" t="n"/>
      <c r="G31" s="95" t="n"/>
      <c r="H31" s="95" t="n"/>
      <c r="I31" s="95" t="n"/>
      <c r="J31" s="95" t="n"/>
      <c r="K31" s="95" t="n"/>
      <c r="L31" s="95" t="n"/>
      <c r="M31" s="95" t="n"/>
    </row>
    <row r="32">
      <c r="D32" s="95" t="n"/>
      <c r="F32" s="95" t="n"/>
      <c r="G32" s="95" t="n"/>
      <c r="H32" s="95" t="n"/>
      <c r="I32" s="95" t="n"/>
      <c r="J32" s="95" t="n"/>
      <c r="K32" s="95" t="n"/>
      <c r="L32" s="95" t="n"/>
      <c r="M32" s="95" t="n"/>
    </row>
    <row r="33">
      <c r="D33" s="95" t="n"/>
      <c r="F33" s="95" t="n"/>
      <c r="G33" s="95" t="n"/>
      <c r="H33" s="95" t="n"/>
      <c r="I33" s="95" t="n"/>
      <c r="J33" s="95" t="n"/>
      <c r="K33" s="95" t="n"/>
      <c r="L33" s="95" t="n"/>
      <c r="M33" s="95" t="n"/>
    </row>
    <row r="34">
      <c r="D34" s="95" t="n"/>
      <c r="F34" s="95" t="n"/>
      <c r="G34" s="95" t="n"/>
      <c r="H34" s="95" t="n"/>
      <c r="I34" s="95" t="n"/>
      <c r="J34" s="95" t="n"/>
      <c r="K34" s="95" t="n"/>
      <c r="L34" s="95" t="n"/>
      <c r="M34" s="95" t="n"/>
    </row>
    <row r="35">
      <c r="D35" s="95" t="n"/>
      <c r="F35" s="95" t="n"/>
      <c r="G35" s="95" t="n"/>
      <c r="H35" s="95" t="n"/>
      <c r="I35" s="95" t="n"/>
      <c r="J35" s="95" t="n"/>
      <c r="K35" s="95" t="n"/>
      <c r="L35" s="95" t="n"/>
      <c r="M35" s="95" t="n"/>
    </row>
    <row r="36">
      <c r="D36" s="23" t="inlineStr">
        <is>
          <t>COA</t>
        </is>
      </c>
      <c r="F36" s="95" t="n"/>
      <c r="G36" s="28" t="n"/>
      <c r="H36" s="28" t="n"/>
      <c r="I36" s="28" t="n"/>
      <c r="J36" s="28" t="n"/>
      <c r="K36" s="28" t="n"/>
      <c r="L36" s="28" t="n"/>
      <c r="M36" s="28" t="n"/>
    </row>
    <row r="37">
      <c r="C37" s="24" t="inlineStr">
        <is>
          <t>Domestic Supply Curve Share - Step 1</t>
        </is>
      </c>
      <c r="D37" s="25" t="n">
        <v>0.75</v>
      </c>
      <c r="F37" s="95" t="n"/>
      <c r="G37" s="29" t="n"/>
      <c r="H37" s="29" t="n"/>
      <c r="I37" s="29" t="n"/>
      <c r="J37" s="29" t="n"/>
      <c r="K37" s="29" t="n"/>
      <c r="L37" s="29" t="n"/>
      <c r="M37" s="29" t="n"/>
    </row>
    <row r="38">
      <c r="C38" s="26" t="inlineStr">
        <is>
          <t>Domestic Supply Curve Share - Step 2</t>
        </is>
      </c>
      <c r="D38" s="27" t="n">
        <v>0.25</v>
      </c>
      <c r="F38" s="95" t="n"/>
      <c r="G38" s="29" t="n"/>
      <c r="H38" s="29" t="n"/>
      <c r="I38" s="29" t="n"/>
      <c r="J38" s="29" t="n"/>
      <c r="K38" s="29" t="n"/>
      <c r="L38" s="29" t="n"/>
      <c r="M38" s="29" t="n"/>
    </row>
    <row r="39">
      <c r="C39" s="28" t="n"/>
      <c r="D39" s="29" t="n"/>
      <c r="F39" s="95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Normal="100" workbookViewId="0">
      <selection activeCell="K2" sqref="K2:P3"/>
    </sheetView>
  </sheetViews>
  <sheetFormatPr baseColWidth="8" defaultRowHeight="12.75"/>
  <cols>
    <col width="1.85546875" customWidth="1" style="82" min="1" max="1"/>
    <col width="7.7109375" customWidth="1" style="82" min="2" max="2"/>
    <col width="6.85546875" customWidth="1" style="82" min="3" max="3"/>
    <col width="6.7109375" customWidth="1" style="82" min="12" max="12"/>
    <col width="5.42578125" customWidth="1" style="82" min="14" max="14"/>
  </cols>
  <sheetData>
    <row r="1"/>
    <row r="2" ht="18" customHeight="1" s="82">
      <c r="B2" s="69" t="inlineStr">
        <is>
          <t>Objective Function</t>
        </is>
      </c>
      <c r="K2" s="69" t="inlineStr">
        <is>
          <t>Objective Function by Scenario</t>
        </is>
      </c>
    </row>
    <row r="3" ht="18" customHeight="1" s="82">
      <c r="K3" s="69" t="inlineStr">
        <is>
          <t>_SysCost VEDA-BE table</t>
        </is>
      </c>
    </row>
    <row r="4">
      <c r="B4" s="94" t="inlineStr">
        <is>
          <t>Run name: DemoS_001</t>
        </is>
      </c>
    </row>
    <row r="5"/>
    <row r="6"/>
    <row r="7"/>
    <row r="8"/>
    <row r="9"/>
    <row r="10"/>
    <row r="11"/>
    <row r="12"/>
    <row r="13"/>
    <row r="14" ht="18" customHeight="1" s="82">
      <c r="B14" s="69" t="inlineStr">
        <is>
          <t>Reference Energy System (from VEDA-FE Go-To RES feature)</t>
        </is>
      </c>
    </row>
    <row r="15"/>
    <row r="16">
      <c r="D16" s="70" t="inlineStr">
        <is>
          <t>Primary Supply (Mining, Import/Export and total primary supply demand)</t>
        </is>
      </c>
      <c r="E16" s="70" t="n"/>
      <c r="F16" s="70" t="n"/>
      <c r="G16" s="70" t="n"/>
      <c r="H16" s="70" t="n"/>
      <c r="I16" s="70" t="n"/>
      <c r="J16" s="70" t="n"/>
      <c r="K16" s="70" t="n"/>
      <c r="L16" s="94" t="n"/>
      <c r="M16" s="94" t="n"/>
      <c r="N16" s="94" t="n"/>
      <c r="O16" s="94" t="n"/>
      <c r="P16" s="94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zoomScaleNormal="100" workbookViewId="0">
      <selection activeCell="I15" sqref="I15"/>
    </sheetView>
  </sheetViews>
  <sheetFormatPr baseColWidth="8" defaultRowHeight="12.75"/>
  <cols>
    <col width="2" bestFit="1" customWidth="1" style="82" min="1" max="1"/>
    <col width="11.5703125" bestFit="1" customWidth="1" style="82" min="2" max="2"/>
    <col width="12.28515625" customWidth="1" style="82" min="3" max="3"/>
    <col width="13.28515625" customWidth="1" style="82" min="4" max="4"/>
    <col width="7.5703125" bestFit="1" customWidth="1" style="82" min="5" max="5"/>
    <col width="8.28515625" bestFit="1" customWidth="1" style="82" min="6" max="6"/>
    <col width="13.140625" bestFit="1" customWidth="1" style="82" min="7" max="7"/>
    <col width="8.42578125" bestFit="1" customWidth="1" style="82" min="8" max="8"/>
    <col width="13.7109375" bestFit="1" customWidth="1" style="82" min="9" max="9"/>
    <col width="2" customWidth="1" style="82" min="10" max="10"/>
    <col width="11.7109375" bestFit="1" customWidth="1" style="82" min="11" max="11"/>
    <col width="7.140625" customWidth="1" style="82" min="12" max="12"/>
    <col width="11.42578125" bestFit="1" customWidth="1" style="82" min="13" max="13"/>
    <col width="34.28515625" customWidth="1" style="82" min="14" max="14"/>
    <col width="6.140625" customWidth="1" style="82" min="15" max="15"/>
    <col width="11.5703125" customWidth="1" style="82" min="16" max="16"/>
    <col width="12.85546875" bestFit="1" customWidth="1" style="82" min="17" max="17"/>
    <col width="13.28515625" bestFit="1" customWidth="1" style="82" min="18" max="18"/>
    <col width="8" bestFit="1" customWidth="1" style="82" min="19" max="19"/>
  </cols>
  <sheetData>
    <row r="1" ht="30" customHeight="1" s="82">
      <c r="B1" s="30" t="inlineStr">
        <is>
          <t>Sector Name</t>
        </is>
      </c>
      <c r="C1" s="30" t="inlineStr">
        <is>
          <t>Commodity</t>
        </is>
      </c>
      <c r="D1" s="30" t="inlineStr">
        <is>
          <t>Description</t>
        </is>
      </c>
      <c r="E1" s="30" t="inlineStr">
        <is>
          <t>Default Unit</t>
        </is>
      </c>
      <c r="F1" s="21" t="n"/>
      <c r="G1" s="30" t="inlineStr">
        <is>
          <t>Currency Unit</t>
        </is>
      </c>
    </row>
    <row r="2" ht="15.75" customHeight="1" s="82">
      <c r="B2" s="14" t="n"/>
      <c r="C2" s="14">
        <f>EnergyBalance!D2</f>
        <v/>
      </c>
      <c r="D2" s="14">
        <f>EnergyBalance!D3</f>
        <v/>
      </c>
      <c r="E2" s="14">
        <f>EnergyBalance!R2</f>
        <v/>
      </c>
      <c r="G2" s="14">
        <f>EnergyBalance!Q2</f>
        <v/>
      </c>
      <c r="K2" s="122" t="inlineStr">
        <is>
          <t>~FI_Comm</t>
        </is>
      </c>
      <c r="L2" s="122" t="n"/>
      <c r="M2" s="123" t="n"/>
      <c r="N2" s="123" t="n"/>
      <c r="O2" s="123" t="n"/>
      <c r="P2" s="123" t="n"/>
      <c r="Q2" s="123" t="n"/>
      <c r="R2" s="123" t="n"/>
      <c r="S2" s="123" t="n"/>
    </row>
    <row r="3">
      <c r="K3" s="124" t="inlineStr">
        <is>
          <t>Csets</t>
        </is>
      </c>
      <c r="L3" s="125" t="inlineStr">
        <is>
          <t>Region</t>
        </is>
      </c>
      <c r="M3" s="124" t="inlineStr">
        <is>
          <t>CommName</t>
        </is>
      </c>
      <c r="N3" s="124" t="inlineStr">
        <is>
          <t>CommDesc</t>
        </is>
      </c>
      <c r="O3" s="124" t="inlineStr">
        <is>
          <t>Unit</t>
        </is>
      </c>
      <c r="P3" s="124" t="inlineStr">
        <is>
          <t>LimType</t>
        </is>
      </c>
      <c r="Q3" s="124" t="inlineStr">
        <is>
          <t>CTSLvl</t>
        </is>
      </c>
      <c r="R3" s="124" t="inlineStr">
        <is>
          <t>PeakTS</t>
        </is>
      </c>
      <c r="S3" s="124" t="inlineStr">
        <is>
          <t>Ctype</t>
        </is>
      </c>
    </row>
    <row r="4" ht="23.25" customHeight="1" s="82" thickBot="1">
      <c r="C4" s="28" t="n"/>
      <c r="K4" s="126" t="inlineStr">
        <is>
          <t>*Commodity Set Membership</t>
        </is>
      </c>
      <c r="L4" s="126" t="inlineStr">
        <is>
          <t>Region Name</t>
        </is>
      </c>
      <c r="M4" s="126" t="inlineStr">
        <is>
          <t>Commodity Name</t>
        </is>
      </c>
      <c r="N4" s="126" t="inlineStr">
        <is>
          <t>Commodity Description</t>
        </is>
      </c>
      <c r="O4" s="126" t="inlineStr">
        <is>
          <t>Unit</t>
        </is>
      </c>
      <c r="P4" s="126" t="inlineStr">
        <is>
          <t>Sense of the Balance EQN.</t>
        </is>
      </c>
      <c r="Q4" s="126" t="inlineStr">
        <is>
          <t>Timeslice Level</t>
        </is>
      </c>
      <c r="R4" s="126" t="inlineStr">
        <is>
          <t>Peak Monitoring</t>
        </is>
      </c>
      <c r="S4" s="126" t="inlineStr">
        <is>
          <t>Electricity Indicator</t>
        </is>
      </c>
    </row>
    <row r="5">
      <c r="K5" s="123" t="inlineStr">
        <is>
          <t>NRG</t>
        </is>
      </c>
      <c r="L5" s="127" t="n"/>
      <c r="M5" s="123">
        <f>C2</f>
        <v/>
      </c>
      <c r="N5" s="123">
        <f>D2</f>
        <v/>
      </c>
      <c r="O5" s="123">
        <f>$E$2</f>
        <v/>
      </c>
      <c r="P5" s="123" t="n"/>
      <c r="Q5" s="123" t="n"/>
      <c r="R5" s="123" t="n"/>
      <c r="S5" s="123" t="n"/>
    </row>
    <row r="6">
      <c r="K6" s="28" t="n"/>
      <c r="M6" s="28" t="n"/>
      <c r="N6" s="28" t="n"/>
      <c r="O6" s="28" t="n"/>
      <c r="P6" s="28" t="n"/>
      <c r="Q6" s="28" t="n"/>
      <c r="R6" s="28" t="n"/>
      <c r="S6" s="28" t="n"/>
    </row>
    <row r="7">
      <c r="F7" s="5" t="inlineStr">
        <is>
          <t>~FI_T</t>
        </is>
      </c>
      <c r="H7" s="5" t="n"/>
      <c r="K7" s="122" t="inlineStr">
        <is>
          <t>~FI_Process</t>
        </is>
      </c>
      <c r="L7" s="122" t="n"/>
      <c r="M7" s="127" t="n"/>
      <c r="N7" s="127" t="n"/>
      <c r="O7" s="127" t="n"/>
      <c r="P7" s="127" t="n"/>
      <c r="Q7" s="127" t="n"/>
      <c r="R7" s="127" t="n"/>
      <c r="S7" s="127" t="n"/>
    </row>
    <row r="8">
      <c r="B8" s="2" t="inlineStr">
        <is>
          <t>TechName</t>
        </is>
      </c>
      <c r="C8" s="18" t="inlineStr">
        <is>
          <t>Comm-IN</t>
        </is>
      </c>
      <c r="D8" s="2" t="inlineStr">
        <is>
          <t>Comm-OUT</t>
        </is>
      </c>
      <c r="E8" s="2" t="inlineStr">
        <is>
          <t>Year</t>
        </is>
      </c>
      <c r="F8" s="2" t="inlineStr">
        <is>
          <t>LimType</t>
        </is>
      </c>
      <c r="G8" s="101" t="inlineStr">
        <is>
          <t>CUM</t>
        </is>
      </c>
      <c r="H8" s="101" t="inlineStr">
        <is>
          <t>COST</t>
        </is>
      </c>
      <c r="I8" s="101" t="inlineStr">
        <is>
          <t>ACT_BND</t>
        </is>
      </c>
      <c r="K8" s="124" t="inlineStr">
        <is>
          <t>Sets</t>
        </is>
      </c>
      <c r="L8" s="125" t="inlineStr">
        <is>
          <t>Region</t>
        </is>
      </c>
      <c r="M8" s="124" t="inlineStr">
        <is>
          <t>TechName</t>
        </is>
      </c>
      <c r="N8" s="124" t="inlineStr">
        <is>
          <t>TechDesc</t>
        </is>
      </c>
      <c r="O8" s="124" t="inlineStr">
        <is>
          <t>Tact</t>
        </is>
      </c>
      <c r="P8" s="124" t="inlineStr">
        <is>
          <t>Tcap</t>
        </is>
      </c>
      <c r="Q8" s="124" t="inlineStr">
        <is>
          <t>Tslvl</t>
        </is>
      </c>
      <c r="R8" s="124" t="inlineStr">
        <is>
          <t>PrimaryCG</t>
        </is>
      </c>
      <c r="S8" s="124" t="inlineStr">
        <is>
          <t>Vintage</t>
        </is>
      </c>
    </row>
    <row r="9" ht="23.25" customHeight="1" s="82" thickBot="1">
      <c r="B9" s="16" t="inlineStr">
        <is>
          <t>*Technology Name</t>
        </is>
      </c>
      <c r="C9" s="16" t="inlineStr">
        <is>
          <t>Input Commodity</t>
        </is>
      </c>
      <c r="D9" s="16" t="inlineStr">
        <is>
          <t>Output Commodity</t>
        </is>
      </c>
      <c r="E9" s="16" t="n"/>
      <c r="F9" s="16" t="n"/>
      <c r="G9" s="16" t="inlineStr">
        <is>
          <t>Reserves Cumulative Value</t>
        </is>
      </c>
      <c r="H9" s="16" t="inlineStr">
        <is>
          <t>Cost</t>
        </is>
      </c>
      <c r="I9" s="16" t="inlineStr">
        <is>
          <t>Annual Production Bound</t>
        </is>
      </c>
      <c r="K9" s="126" t="inlineStr">
        <is>
          <t>*Process Set Membership</t>
        </is>
      </c>
      <c r="L9" s="126" t="inlineStr">
        <is>
          <t>Region Name</t>
        </is>
      </c>
      <c r="M9" s="126" t="inlineStr">
        <is>
          <t>Technology Name</t>
        </is>
      </c>
      <c r="N9" s="126" t="inlineStr">
        <is>
          <t>Technology Description</t>
        </is>
      </c>
      <c r="O9" s="126" t="inlineStr">
        <is>
          <t>Activity Unit</t>
        </is>
      </c>
      <c r="P9" s="126" t="inlineStr">
        <is>
          <t>Capacity Unit</t>
        </is>
      </c>
      <c r="Q9" s="126" t="inlineStr">
        <is>
          <t>TimeSlice level of Process Activity</t>
        </is>
      </c>
      <c r="R9" s="126" t="inlineStr">
        <is>
          <t>Primary Commodity Group</t>
        </is>
      </c>
      <c r="S9" s="126" t="inlineStr">
        <is>
          <t>Vintage Tracking</t>
        </is>
      </c>
    </row>
    <row r="10" ht="13.5" customHeight="1" s="82" thickBot="1">
      <c r="B10" s="16" t="inlineStr">
        <is>
          <t>*Units</t>
        </is>
      </c>
      <c r="C10" s="15" t="n"/>
      <c r="D10" s="15" t="n"/>
      <c r="E10" s="15" t="n"/>
      <c r="F10" s="15" t="n"/>
      <c r="G10" s="15">
        <f>$E$2</f>
        <v/>
      </c>
      <c r="H10" s="15">
        <f>$G$2&amp;"/"&amp;$E$2</f>
        <v/>
      </c>
      <c r="I10" s="15">
        <f>$E$2</f>
        <v/>
      </c>
      <c r="K10" s="126" t="inlineStr">
        <is>
          <t>*</t>
        </is>
      </c>
      <c r="L10" s="128" t="n"/>
      <c r="M10" s="128" t="n"/>
      <c r="N10" s="128" t="n"/>
      <c r="O10" s="128" t="n"/>
      <c r="P10" s="128" t="n"/>
      <c r="Q10" s="128" t="n"/>
      <c r="R10" s="128" t="n"/>
      <c r="S10" s="128" t="n"/>
    </row>
    <row r="11">
      <c r="B11" s="28">
        <f>M11</f>
        <v/>
      </c>
      <c r="C11" s="28" t="n"/>
      <c r="D11" s="28">
        <f>$M$5</f>
        <v/>
      </c>
      <c r="E11" s="28" t="n">
        <v>2005</v>
      </c>
      <c r="F11" s="28" t="inlineStr">
        <is>
          <t>UP</t>
        </is>
      </c>
      <c r="G11" s="67" t="n">
        <v>80000</v>
      </c>
      <c r="H11" s="68" t="n">
        <v>2</v>
      </c>
      <c r="I11" s="64">
        <f>EnergyBalance!$D$5*EnergyBalance!D37</f>
        <v/>
      </c>
      <c r="K11" s="123">
        <f>EnergyBalance!$B$5</f>
        <v/>
      </c>
      <c r="L11" s="127" t="n"/>
      <c r="M11" s="127">
        <f>$K$11&amp;$C$2&amp;1</f>
        <v/>
      </c>
      <c r="N11" s="129">
        <f>"Domestic Supply of "&amp;$D$2&amp; " Step "&amp;RIGHT(M11,1)</f>
        <v/>
      </c>
      <c r="O11" s="127">
        <f>$E$2</f>
        <v/>
      </c>
      <c r="P11" s="127" t="n"/>
      <c r="Q11" s="127" t="n"/>
      <c r="R11" s="127" t="n"/>
      <c r="S11" s="127" t="n"/>
    </row>
    <row r="12" s="82">
      <c r="B12" s="28" t="n"/>
      <c r="C12" s="28" t="n"/>
      <c r="D12" s="28" t="n"/>
      <c r="E12" s="28" t="n">
        <v>2006</v>
      </c>
      <c r="F12" s="28" t="inlineStr">
        <is>
          <t>UP</t>
        </is>
      </c>
      <c r="G12" s="98" t="n"/>
      <c r="H12" s="99" t="n"/>
      <c r="I12" s="100">
        <f>I11</f>
        <v/>
      </c>
      <c r="K12" s="127" t="n"/>
      <c r="L12" s="127" t="n"/>
      <c r="M12" s="127">
        <f>$K$11&amp;$C$2&amp;2</f>
        <v/>
      </c>
      <c r="N12" s="129">
        <f>"Domestic Supply of "&amp;$D$2&amp; " Step "&amp;RIGHT(M12,1)</f>
        <v/>
      </c>
      <c r="O12" s="127">
        <f>$E$2</f>
        <v/>
      </c>
      <c r="P12" s="127" t="n"/>
      <c r="Q12" s="127" t="n"/>
      <c r="R12" s="127" t="n"/>
      <c r="S12" s="127" t="n"/>
    </row>
    <row r="13" s="82">
      <c r="B13" s="28">
        <f>M12</f>
        <v/>
      </c>
      <c r="C13" s="28" t="n"/>
      <c r="D13" s="28">
        <f>$M$5</f>
        <v/>
      </c>
      <c r="E13" s="28" t="n">
        <v>2005</v>
      </c>
      <c r="F13" s="28" t="inlineStr">
        <is>
          <t>UP</t>
        </is>
      </c>
      <c r="G13" s="67" t="n">
        <v>160000</v>
      </c>
      <c r="H13" s="68" t="n">
        <v>2.5</v>
      </c>
      <c r="I13" s="64">
        <f>EnergyBalance!$D$5*EnergyBalance!D38</f>
        <v/>
      </c>
      <c r="K13" s="127" t="n"/>
      <c r="L13" s="127" t="n"/>
      <c r="M13" s="127">
        <f>$K$11&amp;$C$2&amp;3</f>
        <v/>
      </c>
      <c r="N13" s="129">
        <f>"Domestic Supply of "&amp;$D$2&amp; " Step "&amp;RIGHT(M13,1)</f>
        <v/>
      </c>
      <c r="O13" s="127">
        <f>$E$2</f>
        <v/>
      </c>
      <c r="P13" s="127" t="n"/>
      <c r="Q13" s="127" t="n"/>
      <c r="R13" s="127" t="n"/>
      <c r="S13" s="127" t="n"/>
    </row>
    <row r="14" s="82">
      <c r="B14" s="28" t="n"/>
      <c r="C14" s="28" t="n"/>
      <c r="D14" s="28" t="n"/>
      <c r="E14" s="28" t="n">
        <v>2006</v>
      </c>
      <c r="F14" s="28" t="inlineStr">
        <is>
          <t>UP</t>
        </is>
      </c>
      <c r="G14" s="98" t="n"/>
      <c r="H14" s="99" t="n"/>
      <c r="I14" s="100">
        <f>I13</f>
        <v/>
      </c>
      <c r="K14" s="127">
        <f>EnergyBalance!$B$6</f>
        <v/>
      </c>
      <c r="L14" s="127" t="n"/>
      <c r="M14" s="127">
        <f>$K$14&amp;$C$2&amp;1</f>
        <v/>
      </c>
      <c r="N14" s="129">
        <f>"Import of "&amp;$D$2&amp; " Step "&amp;RIGHT(M14,1)</f>
        <v/>
      </c>
      <c r="O14" s="127">
        <f>$E$2</f>
        <v/>
      </c>
      <c r="P14" s="127" t="n"/>
      <c r="Q14" s="127" t="n"/>
      <c r="R14" s="127" t="n"/>
      <c r="S14" s="127" t="n"/>
    </row>
    <row r="15">
      <c r="B15" s="28">
        <f>M13</f>
        <v/>
      </c>
      <c r="C15" s="28" t="n"/>
      <c r="D15" s="28">
        <f>$M$5</f>
        <v/>
      </c>
      <c r="E15" s="28" t="n"/>
      <c r="F15" s="28" t="n"/>
      <c r="G15" s="67" t="n">
        <v>320000</v>
      </c>
      <c r="H15" s="68" t="n">
        <v>3</v>
      </c>
      <c r="I15" s="100" t="n"/>
      <c r="K15" s="127">
        <f>EnergyBalance!B7</f>
        <v/>
      </c>
      <c r="L15" s="127" t="n"/>
      <c r="M15" s="127">
        <f>$K$15&amp;$C$2&amp;1</f>
        <v/>
      </c>
      <c r="N15" s="129">
        <f>"Export of "&amp;$D$2&amp; " Step "&amp;RIGHT(M15,1)</f>
        <v/>
      </c>
      <c r="O15" s="127">
        <f>$E$2</f>
        <v/>
      </c>
      <c r="P15" s="127" t="n"/>
      <c r="Q15" s="127" t="n"/>
      <c r="R15" s="127" t="n"/>
      <c r="S15" s="127" t="n"/>
    </row>
    <row r="16">
      <c r="B16" s="28">
        <f>M14</f>
        <v/>
      </c>
      <c r="C16" s="28" t="n"/>
      <c r="D16" s="28">
        <f>$M$5</f>
        <v/>
      </c>
      <c r="E16" s="28" t="n"/>
      <c r="F16" s="28" t="n"/>
      <c r="G16" s="28" t="n"/>
      <c r="H16" s="68" t="n">
        <v>2.75</v>
      </c>
    </row>
    <row r="17">
      <c r="B17" s="28">
        <f>M15</f>
        <v/>
      </c>
      <c r="C17" s="28">
        <f>$M$5</f>
        <v/>
      </c>
      <c r="D17" s="28" t="n"/>
      <c r="E17" s="28" t="n">
        <v>2005</v>
      </c>
      <c r="F17" s="28" t="inlineStr">
        <is>
          <t>UP</t>
        </is>
      </c>
      <c r="H17" s="68" t="n">
        <v>2.75</v>
      </c>
      <c r="I17" s="65">
        <f>-EnergyBalance!D7</f>
        <v/>
      </c>
    </row>
    <row r="18" s="82">
      <c r="B18" s="28" t="n"/>
      <c r="C18" s="28" t="n"/>
      <c r="E18" s="28" t="n">
        <v>2006</v>
      </c>
      <c r="F18" s="28" t="inlineStr">
        <is>
          <t>UP</t>
        </is>
      </c>
      <c r="G18" s="28" t="n"/>
      <c r="I18" s="100">
        <f>I17</f>
        <v/>
      </c>
    </row>
    <row r="19" s="82"/>
    <row r="20" s="82"/>
    <row r="21" s="82"/>
    <row r="22">
      <c r="B22" s="67" t="n"/>
      <c r="C22" s="28" t="inlineStr">
        <is>
          <t>User inputs</t>
        </is>
      </c>
    </row>
    <row r="23">
      <c r="B23" s="66" t="n"/>
      <c r="C23" s="28" t="inlineStr">
        <is>
          <t>Linked to the Energy Balance</t>
        </is>
      </c>
    </row>
    <row r="24"/>
    <row r="25" customFormat="1" s="28"/>
    <row r="26">
      <c r="T26" s="28" t="n"/>
    </row>
    <row r="27">
      <c r="A27" s="28" t="n"/>
    </row>
    <row r="28" s="82"/>
    <row r="29" s="82"/>
    <row r="30" s="82"/>
    <row r="31" s="82"/>
    <row r="32" s="82"/>
    <row r="33" s="82"/>
    <row r="34" s="82"/>
    <row r="35"/>
    <row r="36"/>
  </sheetData>
  <pageMargins left="0.75" right="0.75" top="1" bottom="1" header="0.5" footer="0.5"/>
  <pageSetup orientation="portrait" horizontalDpi="4294967292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tabSelected="1" zoomScaleNormal="100" workbookViewId="0">
      <selection activeCell="J13" sqref="J13"/>
    </sheetView>
  </sheetViews>
  <sheetFormatPr baseColWidth="8" defaultRowHeight="12.75"/>
  <cols>
    <col width="3" customWidth="1" style="82" min="1" max="1"/>
    <col width="12.140625" bestFit="1" customWidth="1" style="82" min="2" max="2"/>
    <col width="15" customWidth="1" style="82" min="3" max="3"/>
    <col width="13.85546875" bestFit="1" customWidth="1" style="82" min="4" max="4"/>
    <col width="12.28515625" bestFit="1" customWidth="1" style="82" min="5" max="5"/>
    <col width="12.140625" bestFit="1" customWidth="1" style="82" min="6" max="6"/>
    <col width="7.42578125" bestFit="1" customWidth="1" style="82" min="7" max="7"/>
    <col width="9.28515625" bestFit="1" customWidth="1" style="82" min="8" max="9"/>
    <col width="8" bestFit="1" customWidth="1" style="82" min="10" max="10"/>
    <col width="2.7109375" customWidth="1" style="82" min="11" max="11"/>
    <col width="12.7109375" bestFit="1" customWidth="1" style="82" min="12" max="12"/>
    <col width="7.140625" customWidth="1" style="82" min="13" max="13"/>
    <col width="11.42578125" bestFit="1" customWidth="1" style="82" min="14" max="14"/>
    <col width="42.5703125" bestFit="1" customWidth="1" style="82" min="15" max="15"/>
    <col width="6.85546875" customWidth="1" style="82" min="16" max="16"/>
    <col width="11.7109375" customWidth="1" style="82" min="17" max="17"/>
    <col width="13.42578125" customWidth="1" style="82" min="18" max="18"/>
    <col width="13.85546875" customWidth="1" style="82" min="19" max="19"/>
    <col width="8.42578125" customWidth="1" style="82" min="20" max="20"/>
  </cols>
  <sheetData>
    <row r="1" ht="15" customHeight="1" s="82">
      <c r="B1" s="13" t="inlineStr">
        <is>
          <t>Sector Name</t>
        </is>
      </c>
      <c r="C1" s="13" t="inlineStr">
        <is>
          <t>Description</t>
        </is>
      </c>
      <c r="D1" s="13" t="inlineStr">
        <is>
          <t>Type</t>
        </is>
      </c>
      <c r="E1" s="13" t="inlineStr">
        <is>
          <t>Default Unit</t>
        </is>
      </c>
      <c r="F1" s="13" t="inlineStr">
        <is>
          <t>Currency Unit</t>
        </is>
      </c>
      <c r="H1" s="13" t="inlineStr">
        <is>
          <t>Existing</t>
        </is>
      </c>
    </row>
    <row r="2" ht="31.5" customHeight="1" s="82">
      <c r="B2" s="14">
        <f>EnergyBalance!B8</f>
        <v/>
      </c>
      <c r="C2" s="72">
        <f>EnergyBalance!C8</f>
        <v/>
      </c>
      <c r="D2" s="72">
        <f>"Demand Technology"</f>
        <v/>
      </c>
      <c r="E2" s="14">
        <f>EnergyBalance!R2</f>
        <v/>
      </c>
      <c r="F2" s="14">
        <f>EnergyBalance!Q2</f>
        <v/>
      </c>
      <c r="H2" s="14" t="inlineStr">
        <is>
          <t>E</t>
        </is>
      </c>
      <c r="L2" s="122" t="inlineStr">
        <is>
          <t>~FI_Comm</t>
        </is>
      </c>
      <c r="M2" s="122" t="n"/>
      <c r="N2" s="123" t="n"/>
      <c r="O2" s="123" t="n"/>
      <c r="P2" s="123" t="n"/>
      <c r="Q2" s="123" t="n"/>
      <c r="R2" s="123" t="n"/>
      <c r="S2" s="123" t="n"/>
      <c r="T2" s="123" t="n"/>
    </row>
    <row r="3">
      <c r="L3" s="124" t="inlineStr">
        <is>
          <t>Csets</t>
        </is>
      </c>
      <c r="M3" s="125" t="inlineStr">
        <is>
          <t>Region</t>
        </is>
      </c>
      <c r="N3" s="124" t="inlineStr">
        <is>
          <t>CommName</t>
        </is>
      </c>
      <c r="O3" s="124" t="inlineStr">
        <is>
          <t>CommDesc</t>
        </is>
      </c>
      <c r="P3" s="124" t="inlineStr">
        <is>
          <t>Unit</t>
        </is>
      </c>
      <c r="Q3" s="124" t="inlineStr">
        <is>
          <t>LimType</t>
        </is>
      </c>
      <c r="R3" s="124" t="inlineStr">
        <is>
          <t>CTSLvl</t>
        </is>
      </c>
      <c r="S3" s="124" t="inlineStr">
        <is>
          <t>PeakTS</t>
        </is>
      </c>
      <c r="T3" s="124" t="inlineStr">
        <is>
          <t>Ctype</t>
        </is>
      </c>
    </row>
    <row r="4" ht="24" customHeight="1" s="82" thickBot="1">
      <c r="B4" s="73" t="n"/>
      <c r="C4" s="73" t="n"/>
      <c r="D4" s="73" t="n"/>
      <c r="E4" s="73" t="n"/>
      <c r="F4" s="73" t="n"/>
      <c r="L4" s="126" t="inlineStr">
        <is>
          <t>*Commodity Set Membership</t>
        </is>
      </c>
      <c r="M4" s="126" t="inlineStr">
        <is>
          <t>Region Name</t>
        </is>
      </c>
      <c r="N4" s="126" t="inlineStr">
        <is>
          <t>Commodity Name</t>
        </is>
      </c>
      <c r="O4" s="126" t="inlineStr">
        <is>
          <t>Commodity Description</t>
        </is>
      </c>
      <c r="P4" s="126" t="inlineStr">
        <is>
          <t>Unit</t>
        </is>
      </c>
      <c r="Q4" s="126" t="inlineStr">
        <is>
          <t>Sense of the Balance EQN.</t>
        </is>
      </c>
      <c r="R4" s="126" t="inlineStr">
        <is>
          <t>Timeslice Level</t>
        </is>
      </c>
      <c r="S4" s="126" t="inlineStr">
        <is>
          <t>Peak Monitoring</t>
        </is>
      </c>
      <c r="T4" s="126" t="inlineStr">
        <is>
          <t>Electricity Indicator</t>
        </is>
      </c>
    </row>
    <row r="5" ht="15.75" customHeight="1" s="82">
      <c r="B5" s="73" t="n"/>
      <c r="C5" s="73" t="n"/>
      <c r="D5" s="73" t="n"/>
      <c r="E5" s="73" t="n"/>
      <c r="F5" s="73" t="n"/>
      <c r="L5" s="123" t="inlineStr">
        <is>
          <t>DEM</t>
        </is>
      </c>
      <c r="M5" s="127" t="n"/>
      <c r="N5" s="123">
        <f>B2&amp;EnergyBalance!D2</f>
        <v/>
      </c>
      <c r="O5" s="123">
        <f>LEFT($D$2,6)&amp;" "&amp;$C$2&amp;" - "&amp;EnergyBalance!D2</f>
        <v/>
      </c>
      <c r="P5" s="123">
        <f>$E$2</f>
        <v/>
      </c>
      <c r="Q5" s="123" t="n"/>
      <c r="R5" s="123" t="n"/>
      <c r="S5" s="123" t="n"/>
      <c r="T5" s="123" t="n"/>
    </row>
    <row r="6"/>
    <row r="7"/>
    <row r="8">
      <c r="D8" s="5" t="inlineStr">
        <is>
          <t>~FI_T</t>
        </is>
      </c>
      <c r="E8" s="5" t="n"/>
      <c r="F8" s="5" t="n"/>
      <c r="H8" s="5" t="n"/>
      <c r="I8" s="74" t="n"/>
      <c r="J8" s="75" t="n"/>
      <c r="L8" s="122" t="inlineStr">
        <is>
          <t>~FI_Process</t>
        </is>
      </c>
      <c r="M8" s="122" t="n"/>
      <c r="N8" s="127" t="n"/>
      <c r="O8" s="127" t="n"/>
      <c r="P8" s="127" t="n"/>
      <c r="Q8" s="127" t="n"/>
      <c r="R8" s="127" t="n"/>
      <c r="S8" s="127" t="n"/>
      <c r="T8" s="127" t="n"/>
    </row>
    <row r="9">
      <c r="B9" s="77" t="inlineStr">
        <is>
          <t>TechName</t>
        </is>
      </c>
      <c r="C9" s="77" t="inlineStr">
        <is>
          <t>Comm-IN</t>
        </is>
      </c>
      <c r="D9" s="77" t="inlineStr">
        <is>
          <t>Comm-OUT</t>
        </is>
      </c>
      <c r="E9" s="93" t="inlineStr">
        <is>
          <t>STOCK</t>
        </is>
      </c>
      <c r="F9" s="77" t="inlineStr">
        <is>
          <t>EFF</t>
        </is>
      </c>
      <c r="G9" s="77" t="inlineStr">
        <is>
          <t>AFA</t>
        </is>
      </c>
      <c r="H9" s="77" t="inlineStr">
        <is>
          <t>INVCOST</t>
        </is>
      </c>
      <c r="I9" s="77" t="inlineStr">
        <is>
          <t>FIXOM</t>
        </is>
      </c>
      <c r="J9" s="93" t="inlineStr">
        <is>
          <t>LIFE</t>
        </is>
      </c>
      <c r="L9" s="124" t="inlineStr">
        <is>
          <t>Sets</t>
        </is>
      </c>
      <c r="M9" s="125" t="inlineStr">
        <is>
          <t>Region</t>
        </is>
      </c>
      <c r="N9" s="124" t="inlineStr">
        <is>
          <t>TechName</t>
        </is>
      </c>
      <c r="O9" s="124" t="inlineStr">
        <is>
          <t>TechDesc</t>
        </is>
      </c>
      <c r="P9" s="124" t="inlineStr">
        <is>
          <t>Tact</t>
        </is>
      </c>
      <c r="Q9" s="124" t="inlineStr">
        <is>
          <t>Tcap</t>
        </is>
      </c>
      <c r="R9" s="124" t="inlineStr">
        <is>
          <t>Tslvl</t>
        </is>
      </c>
      <c r="S9" s="124" t="inlineStr">
        <is>
          <t>PrimaryCG</t>
        </is>
      </c>
      <c r="T9" s="124" t="inlineStr">
        <is>
          <t>Vintage</t>
        </is>
      </c>
    </row>
    <row r="10" ht="23.25" customHeight="1" s="82" thickBot="1">
      <c r="B10" s="17" t="inlineStr">
        <is>
          <t>*Technology Name</t>
        </is>
      </c>
      <c r="C10" s="17" t="inlineStr">
        <is>
          <t>Input Commodity</t>
        </is>
      </c>
      <c r="D10" s="17" t="inlineStr">
        <is>
          <t>Output Commodity</t>
        </is>
      </c>
      <c r="E10" s="17" t="inlineStr">
        <is>
          <t>Existing Installed Capacity</t>
        </is>
      </c>
      <c r="F10" s="17" t="inlineStr">
        <is>
          <t>Efficiency</t>
        </is>
      </c>
      <c r="G10" s="92" t="inlineStr">
        <is>
          <t>Utilisation Factor</t>
        </is>
      </c>
      <c r="H10" s="17" t="inlineStr">
        <is>
          <t>Invesctment Cost</t>
        </is>
      </c>
      <c r="I10" s="17" t="inlineStr">
        <is>
          <t>Fixed O&amp;M Cost</t>
        </is>
      </c>
      <c r="J10" s="17" t="inlineStr">
        <is>
          <t>Lifetime</t>
        </is>
      </c>
      <c r="L10" s="126" t="inlineStr">
        <is>
          <t>*Process Set Membership</t>
        </is>
      </c>
      <c r="M10" s="126" t="inlineStr">
        <is>
          <t>Region Name</t>
        </is>
      </c>
      <c r="N10" s="126" t="inlineStr">
        <is>
          <t>Technology Name</t>
        </is>
      </c>
      <c r="O10" s="126" t="inlineStr">
        <is>
          <t>Technology Description</t>
        </is>
      </c>
      <c r="P10" s="126" t="inlineStr">
        <is>
          <t>Activity Unit</t>
        </is>
      </c>
      <c r="Q10" s="126" t="inlineStr">
        <is>
          <t>Capacity Unit</t>
        </is>
      </c>
      <c r="R10" s="126" t="inlineStr">
        <is>
          <t>TimeSlice level of Process Activity</t>
        </is>
      </c>
      <c r="S10" s="126" t="inlineStr">
        <is>
          <t>Primary Commodity Group</t>
        </is>
      </c>
      <c r="T10" s="126" t="inlineStr">
        <is>
          <t>Vintage Tracking</t>
        </is>
      </c>
    </row>
    <row r="11" ht="13.5" customHeight="1" s="82" thickBot="1">
      <c r="B11" s="16" t="inlineStr">
        <is>
          <t>*Units</t>
        </is>
      </c>
      <c r="C11" s="16" t="n"/>
      <c r="D11" s="16" t="n"/>
      <c r="E11" s="15">
        <f>E2&amp;"a"</f>
        <v/>
      </c>
      <c r="F11" s="15" t="n"/>
      <c r="G11" s="78" t="n"/>
      <c r="H11" s="15">
        <f>$F$2&amp;"/"&amp;$E$2</f>
        <v/>
      </c>
      <c r="I11" s="15">
        <f>$F$2&amp;"/"&amp;$E$2&amp;"a"</f>
        <v/>
      </c>
      <c r="J11" s="15" t="inlineStr">
        <is>
          <t>Years</t>
        </is>
      </c>
      <c r="L11" s="126" t="inlineStr">
        <is>
          <t>*</t>
        </is>
      </c>
      <c r="M11" s="126" t="n"/>
      <c r="N11" s="126" t="n"/>
      <c r="O11" s="126" t="n"/>
      <c r="P11" s="126" t="n"/>
      <c r="Q11" s="126" t="n"/>
      <c r="R11" s="126" t="n"/>
      <c r="S11" s="126" t="n"/>
      <c r="T11" s="126" t="n"/>
    </row>
    <row r="12">
      <c r="B12">
        <f>N12</f>
        <v/>
      </c>
      <c r="C12">
        <f>RIGHT(B12,3)</f>
        <v/>
      </c>
      <c r="D12">
        <f>$N$5</f>
        <v/>
      </c>
      <c r="F12" s="79" t="n">
        <v>1</v>
      </c>
      <c r="G12" s="79" t="n">
        <v>0.95</v>
      </c>
      <c r="H12" s="45" t="n">
        <v>10</v>
      </c>
      <c r="I12" s="79">
        <f>H12*0.02</f>
        <v/>
      </c>
      <c r="J12" s="45" t="n">
        <v>20</v>
      </c>
      <c r="L12" s="123" t="inlineStr">
        <is>
          <t>DMD</t>
        </is>
      </c>
      <c r="M12" s="127" t="n"/>
      <c r="N12" s="127">
        <f>LEFT(L12,1)&amp;B2&amp;RIGHT(O12,3)</f>
        <v/>
      </c>
      <c r="O12" s="127">
        <f>$D$2&amp;" "&amp;$C$2&amp;" - "&amp;EnergyBalance!D2</f>
        <v/>
      </c>
      <c r="P12" s="127">
        <f>$E$2</f>
        <v/>
      </c>
      <c r="Q12" s="127">
        <f>$E$2&amp;"a"</f>
        <v/>
      </c>
      <c r="R12" s="127" t="n"/>
      <c r="S12" s="127" t="n"/>
      <c r="T12" s="127" t="n"/>
    </row>
    <row r="13">
      <c r="E13" s="95" t="n"/>
      <c r="F13" s="84" t="n"/>
      <c r="G13" s="84" t="n"/>
      <c r="I13" s="84" t="n"/>
      <c r="L13" s="28" t="n"/>
    </row>
    <row r="14">
      <c r="E14" s="95" t="n"/>
      <c r="F14" s="84" t="n"/>
      <c r="G14" s="84" t="n"/>
      <c r="I14" s="84" t="n"/>
      <c r="O14" s="21" t="n"/>
    </row>
    <row r="15">
      <c r="E15" s="95" t="n"/>
      <c r="F15" s="84" t="n"/>
      <c r="G15" s="84" t="n"/>
      <c r="I15" s="84" t="n"/>
      <c r="O15" s="21" t="n"/>
    </row>
    <row r="16"/>
    <row r="17"/>
    <row r="18">
      <c r="I18" s="76" t="n"/>
    </row>
    <row r="19">
      <c r="I19" s="76" t="n"/>
    </row>
    <row r="20"/>
    <row r="21"/>
    <row r="22"/>
    <row r="23">
      <c r="B23" s="45" t="n"/>
      <c r="C23" s="28" t="inlineStr">
        <is>
          <t>User inputs</t>
        </is>
      </c>
    </row>
    <row r="24">
      <c r="B24" s="66" t="n"/>
      <c r="C24" s="28" t="inlineStr">
        <is>
          <t>Linked to the Energy Balance</t>
        </is>
      </c>
    </row>
    <row r="25">
      <c r="K25" s="28" t="n"/>
    </row>
    <row r="26">
      <c r="K26" s="28" t="n"/>
    </row>
    <row r="27">
      <c r="K27" s="28" t="n"/>
    </row>
    <row r="28">
      <c r="K28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J21" sqref="J21"/>
    </sheetView>
  </sheetViews>
  <sheetFormatPr baseColWidth="8" defaultRowHeight="12.75"/>
  <cols>
    <col width="2" bestFit="1" customWidth="1" style="82" min="1" max="1"/>
    <col width="11.5703125" bestFit="1" customWidth="1" style="82" min="2" max="2"/>
    <col width="25.28515625" bestFit="1" customWidth="1" style="82" min="3" max="3"/>
    <col width="10.28515625" bestFit="1" customWidth="1" style="82" min="4" max="4"/>
    <col width="10.85546875" bestFit="1" customWidth="1" style="82" min="5" max="5"/>
    <col width="12.42578125" customWidth="1" style="82" min="6" max="9"/>
    <col width="7.28515625" customWidth="1" style="82" min="10" max="10"/>
    <col width="11.42578125" bestFit="1" customWidth="1" style="82" min="11" max="11"/>
  </cols>
  <sheetData>
    <row r="1" ht="15" customHeight="1" s="82">
      <c r="B1" s="13" t="inlineStr">
        <is>
          <t>Sector Name</t>
        </is>
      </c>
      <c r="C1" s="13" t="inlineStr">
        <is>
          <t>Commodity</t>
        </is>
      </c>
      <c r="D1" s="13" t="inlineStr">
        <is>
          <t>Description</t>
        </is>
      </c>
      <c r="E1" s="13" t="inlineStr">
        <is>
          <t>Default Unit</t>
        </is>
      </c>
      <c r="G1" s="13" t="inlineStr">
        <is>
          <t>Currency Unit</t>
        </is>
      </c>
    </row>
    <row r="2" ht="15.75" customHeight="1" s="82">
      <c r="B2" s="14" t="inlineStr">
        <is>
          <t>DEM</t>
        </is>
      </c>
      <c r="C2" s="14" t="n"/>
      <c r="D2" s="14" t="n"/>
      <c r="E2" s="14">
        <f>EnergyBalance!R2</f>
        <v/>
      </c>
      <c r="G2" s="14">
        <f>EnergyBalance!Q2</f>
        <v/>
      </c>
    </row>
    <row r="3"/>
    <row r="4"/>
    <row r="5">
      <c r="C5" s="4" t="inlineStr">
        <is>
          <t>~FI_T</t>
        </is>
      </c>
      <c r="D5" s="4" t="n"/>
      <c r="E5" s="28" t="n"/>
    </row>
    <row r="6">
      <c r="B6" s="3" t="inlineStr">
        <is>
          <t>Attribute</t>
        </is>
      </c>
      <c r="C6" s="3" t="inlineStr">
        <is>
          <t>CommName</t>
        </is>
      </c>
      <c r="D6" s="3" t="inlineStr">
        <is>
          <t>*Unit</t>
        </is>
      </c>
      <c r="E6" s="3" t="n">
        <v>2005</v>
      </c>
      <c r="F6" s="96" t="n"/>
      <c r="G6" s="96" t="n"/>
      <c r="H6" s="96" t="n"/>
      <c r="I6" s="96" t="n"/>
    </row>
    <row r="7" ht="22.5" customHeight="1" s="82">
      <c r="B7" s="17" t="inlineStr">
        <is>
          <t>*</t>
        </is>
      </c>
      <c r="C7" s="17" t="inlineStr">
        <is>
          <t>Demand Commodity Name</t>
        </is>
      </c>
      <c r="D7" s="17" t="inlineStr">
        <is>
          <t>Demand Unit</t>
        </is>
      </c>
      <c r="E7" s="17" t="inlineStr">
        <is>
          <t>Demand Value</t>
        </is>
      </c>
      <c r="F7" s="97" t="n"/>
      <c r="G7" s="97" t="n"/>
      <c r="H7" s="97" t="n"/>
      <c r="I7" s="97" t="n"/>
    </row>
    <row r="8" ht="13.5" customHeight="1" s="82" thickBot="1">
      <c r="B8" s="16" t="inlineStr">
        <is>
          <t>*Units</t>
        </is>
      </c>
      <c r="C8" s="16" t="n"/>
      <c r="D8" s="16" t="n"/>
      <c r="E8" s="16">
        <f>E2</f>
        <v/>
      </c>
      <c r="F8" s="97" t="n"/>
      <c r="G8" s="97" t="n"/>
      <c r="H8" s="97" t="n"/>
      <c r="I8" s="97" t="n"/>
    </row>
    <row r="9">
      <c r="B9" s="33" t="inlineStr">
        <is>
          <t>Demand</t>
        </is>
      </c>
      <c r="C9" s="33">
        <f>DemTechs_TPS!N5</f>
        <v/>
      </c>
      <c r="D9" s="33" t="inlineStr">
        <is>
          <t>PJ</t>
        </is>
      </c>
      <c r="E9" s="71">
        <f>EnergyBalance!D24-EnergyBalance!D14</f>
        <v/>
      </c>
    </row>
    <row r="10"/>
    <row r="11">
      <c r="G11" s="95" t="n"/>
      <c r="H11" s="95" t="n"/>
      <c r="I11" s="95" t="n"/>
    </row>
    <row r="12">
      <c r="E12" s="32" t="n"/>
    </row>
    <row r="13">
      <c r="E13" s="95" t="n"/>
    </row>
    <row r="14"/>
    <row r="15">
      <c r="E15" s="95" t="n"/>
    </row>
    <row r="16"/>
    <row r="17"/>
    <row r="18"/>
    <row r="19"/>
    <row r="20"/>
    <row r="21">
      <c r="B21" s="45" t="n"/>
      <c r="C21" s="28" t="inlineStr">
        <is>
          <t>User inputs</t>
        </is>
      </c>
    </row>
    <row r="22">
      <c r="B22" s="66" t="n"/>
      <c r="C22" s="28" t="inlineStr">
        <is>
          <t>Linked to the Energy Balance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2000-12-13T15:53:11Z</dcterms:created>
  <dcterms:modified xsi:type="dcterms:W3CDTF">2025-12-22T01:19:18Z</dcterms:modified>
  <cp:lastModifiedBy>Ravinder</cp:lastModifiedBy>
  <cp:lastPrinted>2004-11-16T14:57:57Z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lpwstr>632569849491119</vt:lpwstr>
  </property>
</Properties>
</file>